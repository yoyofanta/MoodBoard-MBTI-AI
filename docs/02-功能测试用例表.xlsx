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152" windowHeight="8955"/>
  </bookViews>
  <sheets>
    <sheet name="功能测试用例" sheetId="1" r:id="rId1"/>
    <sheet name="测试汇总" sheetId="2" r:id="rId2"/>
    <sheet name="下拉选项" sheetId="3" r:id="rId3"/>
    <sheet name="Bug记录模板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<sst xmlns="http://schemas.openxmlformats.org/spreadsheetml/2006/main" count="1117" uniqueCount="575">
  <si>
    <t>用例ID</t>
  </si>
  <si>
    <t>模块</t>
  </si>
  <si>
    <t>功能点</t>
  </si>
  <si>
    <t>优先级</t>
  </si>
  <si>
    <t>用例标题</t>
  </si>
  <si>
    <t>前置条件</t>
  </si>
  <si>
    <t>测试步骤</t>
  </si>
  <si>
    <t>测试数据</t>
  </si>
  <si>
    <t>预期结果</t>
  </si>
  <si>
    <t>实际结果</t>
  </si>
  <si>
    <t>执行状态</t>
  </si>
  <si>
    <t>缺陷编号/备注</t>
  </si>
  <si>
    <t>TC-001</t>
  </si>
  <si>
    <t>登录注册</t>
  </si>
  <si>
    <t>登录</t>
  </si>
  <si>
    <t>P0</t>
  </si>
  <si>
    <t>正确账号密码登录成功</t>
  </si>
  <si>
    <t>后端与前端均已启动，存在账号 demo/123456</t>
  </si>
  <si>
    <t>1. 打开登录页
2. 输入账号 demo
3. 输入密码 123456
4. 点击登录</t>
  </si>
  <si>
    <t>账号：demo
密码：123456</t>
  </si>
  <si>
    <r>
      <t>登录成功，跳转到情绪日记首页，</t>
    </r>
    <r>
      <rPr>
        <sz val="10"/>
        <rFont val="Carlito"/>
        <charset val="134"/>
      </rPr>
      <t xml:space="preserve">localStorage </t>
    </r>
    <r>
      <rPr>
        <sz val="10"/>
        <rFont val="宋体"/>
        <charset val="134"/>
      </rPr>
      <t>中保存</t>
    </r>
    <r>
      <rPr>
        <sz val="10"/>
        <rFont val="Carlito"/>
        <charset val="134"/>
      </rPr>
      <t xml:space="preserve"> token</t>
    </r>
  </si>
  <si>
    <t>成功</t>
  </si>
  <si>
    <t/>
  </si>
  <si>
    <t>TC-002</t>
  </si>
  <si>
    <t>错误密码登录失败并提示</t>
  </si>
  <si>
    <t>前后端服务正常</t>
  </si>
  <si>
    <t>1. 打开登录页
2. 输入账号 demo
3. 输入错误密码
4. 点击登录</t>
  </si>
  <si>
    <t>账号：demo
密码：111111</t>
  </si>
  <si>
    <r>
      <t>登录失败，页面提示</t>
    </r>
    <r>
      <rPr>
        <sz val="10"/>
        <rFont val="Carlito"/>
        <charset val="134"/>
      </rPr>
      <t>“</t>
    </r>
    <r>
      <rPr>
        <sz val="10"/>
        <rFont val="宋体"/>
        <charset val="134"/>
      </rPr>
      <t>账号或密码错误</t>
    </r>
    <r>
      <rPr>
        <sz val="10"/>
        <rFont val="Carlito"/>
        <charset val="134"/>
      </rPr>
      <t>”</t>
    </r>
    <r>
      <rPr>
        <sz val="10"/>
        <rFont val="宋体"/>
        <charset val="134"/>
      </rPr>
      <t>，不跳转</t>
    </r>
  </si>
  <si>
    <t>未执行</t>
  </si>
  <si>
    <t>TC-003</t>
  </si>
  <si>
    <t>P1</t>
  </si>
  <si>
    <t>空账号登录校验</t>
  </si>
  <si>
    <t>1. 打开登录页
2. 账号为空
3. 输入密码
4. 点击登录</t>
  </si>
  <si>
    <t>账号：空
密码：123456</t>
  </si>
  <si>
    <t>页面提示请输入账号，不发起登录或登录失败提示明确</t>
  </si>
  <si>
    <t>TC-004</t>
  </si>
  <si>
    <t>空密码登录校验</t>
  </si>
  <si>
    <t>1. 打开登录页
2. 输入账号
3. 密码为空
4. 点击登录</t>
  </si>
  <si>
    <t>账号：demo
密码：空</t>
  </si>
  <si>
    <t>页面提示请输入密码，不进入系统</t>
  </si>
  <si>
    <t>TC-005</t>
  </si>
  <si>
    <t>注册</t>
  </si>
  <si>
    <t>新用户注册成功</t>
  </si>
  <si>
    <t>准备一个未注册账号</t>
  </si>
  <si>
    <t>1. 切换到注册
2. 输入新账号和密码
3. 点击注册</t>
  </si>
  <si>
    <t>账号：test_时间戳
密码：123456</t>
  </si>
  <si>
    <t>注册成功后自动登录或跳转首次引导页</t>
  </si>
  <si>
    <t>TC-006</t>
  </si>
  <si>
    <t>重复账号注册失败</t>
  </si>
  <si>
    <t>账号 demo 已存在</t>
  </si>
  <si>
    <t>1. 切换到注册
2. 输入已存在账号 demo
3. 输入密码
4. 点击注册</t>
  </si>
  <si>
    <t>注册失败并给出明确提示，不覆盖原账号数据</t>
  </si>
  <si>
    <t>TC-007</t>
  </si>
  <si>
    <t>游客登录</t>
  </si>
  <si>
    <t>游客登录成功</t>
  </si>
  <si>
    <t>1. 打开登录页
2. 点击游客登录</t>
  </si>
  <si>
    <t>无</t>
  </si>
  <si>
    <t>系统自动创建游客账号，进入情绪日记首页</t>
  </si>
  <si>
    <t>TC-008</t>
  </si>
  <si>
    <t>游客登录默认资料保存</t>
  </si>
  <si>
    <t>已通过游客登录进入系统</t>
  </si>
  <si>
    <t>1. 游客登录
2. 进入个人中心
3. 查看昵称、身份、年龄、常驻人格</t>
  </si>
  <si>
    <t>游客默认资料</t>
  </si>
  <si>
    <t>昵称显示游客或默认昵称，身份、年龄、常驻人格有默认值</t>
  </si>
  <si>
    <t>TC-009</t>
  </si>
  <si>
    <t>页面切换</t>
  </si>
  <si>
    <t>P2</t>
  </si>
  <si>
    <t>登录注册切换布局正常</t>
  </si>
  <si>
    <t>打开登录页</t>
  </si>
  <si>
    <t>1. 点击注册
2. 点击登录
3. 观察按钮和输入框布局</t>
  </si>
  <si>
    <r>
      <t>登录</t>
    </r>
    <r>
      <rPr>
        <sz val="10"/>
        <rFont val="Carlito"/>
        <charset val="134"/>
      </rPr>
      <t>/</t>
    </r>
    <r>
      <rPr>
        <sz val="10"/>
        <rFont val="宋体"/>
        <charset val="134"/>
      </rPr>
      <t>注册切换正常，游客登录仅在登录模式显示，布局不变形</t>
    </r>
  </si>
  <si>
    <t>TC-010</t>
  </si>
  <si>
    <t>个人资料</t>
  </si>
  <si>
    <t>首次引导</t>
  </si>
  <si>
    <t>首次引导信息保存成功</t>
  </si>
  <si>
    <t>新用户注册成功后进入首次引导页</t>
  </si>
  <si>
    <t>1. 填写昵称
2. 选择身份、年龄段、性别、常驻人格
3. 点击开始使用</t>
  </si>
  <si>
    <t>昵称：yoyo
身份：学生
年龄：18-22岁
性别：未透露
常驻人格：INTJ</t>
  </si>
  <si>
    <t>保存成功，跳转到日记首页</t>
  </si>
  <si>
    <t>TC-011</t>
  </si>
  <si>
    <t>个人中心</t>
  </si>
  <si>
    <t>个人资料修改后保存成功</t>
  </si>
  <si>
    <t>已登录</t>
  </si>
  <si>
    <t>1. 进入我的页面
2. 修改昵称、身份、年龄、性别、常驻人格
3. 保存
4. 刷新页面</t>
  </si>
  <si>
    <t>昵称：测试用户</t>
  </si>
  <si>
    <t>刷新后个人资料仍为修改后的内容</t>
  </si>
  <si>
    <t>TC-012</t>
  </si>
  <si>
    <t>常驻人格影响默认展示</t>
  </si>
  <si>
    <t>已登录并设置常驻人格</t>
  </si>
  <si>
    <t>1. 设置常驻人格为 ESFJ
2. 进入人格对话
3. 观察默认/推荐人格</t>
  </si>
  <si>
    <t>常驻人格：ESFJ</t>
  </si>
  <si>
    <r>
      <t>页面能体现常驻人格或推荐中包含</t>
    </r>
    <r>
      <rPr>
        <sz val="10"/>
        <rFont val="Carlito"/>
        <charset val="134"/>
      </rPr>
      <t xml:space="preserve"> ESFJ</t>
    </r>
  </si>
  <si>
    <t>TC-013</t>
  </si>
  <si>
    <t>情绪日记</t>
  </si>
  <si>
    <t>周视图</t>
  </si>
  <si>
    <t>周视图展示当前周 7 天</t>
  </si>
  <si>
    <t>已登录进入日记页面</t>
  </si>
  <si>
    <t>1. 打开日记首页
2. 查看本周日历</t>
  </si>
  <si>
    <t>当前日期</t>
  </si>
  <si>
    <r>
      <t>显示当前周日期范围与</t>
    </r>
    <r>
      <rPr>
        <sz val="10"/>
        <rFont val="Carlito"/>
        <charset val="134"/>
      </rPr>
      <t xml:space="preserve"> 7 </t>
    </r>
    <r>
      <rPr>
        <sz val="10"/>
        <rFont val="宋体"/>
        <charset val="134"/>
      </rPr>
      <t>个日期卡片</t>
    </r>
  </si>
  <si>
    <t>TC-014</t>
  </si>
  <si>
    <t>上一周/下一周切换正常</t>
  </si>
  <si>
    <t>1. 点击上一周
2. 查看日期变化
3. 点击下一周</t>
  </si>
  <si>
    <t>周日期范围正确切换，已记录情绪可对应展示</t>
  </si>
  <si>
    <t>TC-015</t>
  </si>
  <si>
    <t>月视图</t>
  </si>
  <si>
    <t>月视图展示整月情绪记录</t>
  </si>
  <si>
    <t>已登录且存在多天日记</t>
  </si>
  <si>
    <t>1. 切换到月视图
2. 查看每一天情绪展示</t>
  </si>
  <si>
    <t>2026-07</t>
  </si>
  <si>
    <r>
      <t>月份日期展示正确，有记录日期显示对应</t>
    </r>
    <r>
      <rPr>
        <sz val="10"/>
        <rFont val="Carlito"/>
        <charset val="134"/>
      </rPr>
      <t xml:space="preserve"> emoji</t>
    </r>
  </si>
  <si>
    <t>TC-016</t>
  </si>
  <si>
    <t>年视图</t>
  </si>
  <si>
    <t>年视图展示年度情绪概览</t>
  </si>
  <si>
    <t>已登录且存在多月日记</t>
  </si>
  <si>
    <t>1. 切换到年视图
2. 查看年度统计</t>
  </si>
  <si>
    <t>2026 年</t>
  </si>
  <si>
    <t>能展示年度情绪分布或月份概览</t>
  </si>
  <si>
    <t>TC-017</t>
  </si>
  <si>
    <t>新增日记</t>
  </si>
  <si>
    <t>新增一条情绪日记成功</t>
  </si>
  <si>
    <t>已登录，进入日记编辑页</t>
  </si>
  <si>
    <t>1. 选择日期
2. 选择 emoji
3. 输入内容与关键词
4. 点击保存日记</t>
  </si>
  <si>
    <t>emoji：😊
内容：今天完成作业
关键词：开心</t>
  </si>
  <si>
    <r>
      <t>保存成功，返回日记页后对应日期显示</t>
    </r>
    <r>
      <rPr>
        <sz val="10"/>
        <rFont val="Carlito"/>
        <charset val="134"/>
      </rPr>
      <t xml:space="preserve"> emoji</t>
    </r>
  </si>
  <si>
    <t>TC-018</t>
  </si>
  <si>
    <t>多emoji</t>
  </si>
  <si>
    <t>一天支持多个情绪 emoji</t>
  </si>
  <si>
    <t>1. 选择同一天
2. 依次选择多个 emoji
3. 保存</t>
  </si>
  <si>
    <t>emoji：😊😢💪</t>
  </si>
  <si>
    <r>
      <t>保存后该日期能展示多个</t>
    </r>
    <r>
      <rPr>
        <sz val="10"/>
        <rFont val="Carlito"/>
        <charset val="134"/>
      </rPr>
      <t xml:space="preserve"> emoji </t>
    </r>
    <r>
      <rPr>
        <sz val="10"/>
        <rFont val="宋体"/>
        <charset val="134"/>
      </rPr>
      <t>或主情绪与情绪列表</t>
    </r>
  </si>
  <si>
    <t>TC-019</t>
  </si>
  <si>
    <t>重复点击 emoji 可取消选择</t>
  </si>
  <si>
    <t>已进入日记编辑页</t>
  </si>
  <si>
    <t>1. 点击 😊
2. 再次点击 😊
3. 观察选择状态</t>
  </si>
  <si>
    <t>emoji：😊</t>
  </si>
  <si>
    <r>
      <t>第二次点击后该</t>
    </r>
    <r>
      <rPr>
        <sz val="10"/>
        <rFont val="Carlito"/>
        <charset val="134"/>
      </rPr>
      <t xml:space="preserve"> emoji </t>
    </r>
    <r>
      <rPr>
        <sz val="10"/>
        <rFont val="宋体"/>
        <charset val="134"/>
      </rPr>
      <t>被取消</t>
    </r>
  </si>
  <si>
    <t>TC-020</t>
  </si>
  <si>
    <t>文本输入</t>
  </si>
  <si>
    <t>日记正文支持较长文本</t>
  </si>
  <si>
    <t>1. 输入较长日记正文
2. 点击保存</t>
  </si>
  <si>
    <t>500 字以内文本</t>
  </si>
  <si>
    <t>保存成功，详情回显完整，不出现截断或页面错乱</t>
  </si>
  <si>
    <t>TC-021</t>
  </si>
  <si>
    <t>空内容</t>
  </si>
  <si>
    <t>只选情绪不写正文也能保存</t>
  </si>
  <si>
    <t>1. 只选择 emoji
2. 正文为空
3. 点击保存</t>
  </si>
  <si>
    <t>emoji：😌
正文：空</t>
  </si>
  <si>
    <t>保存成功或给出明确校验提示，不能无响应</t>
  </si>
  <si>
    <t>TC-022</t>
  </si>
  <si>
    <t>图片上传</t>
  </si>
  <si>
    <t>本地选择图片并保存成功</t>
  </si>
  <si>
    <t>1. 点击本地选图
2. 选择 jpg/png 图片
3. 保存日记
4. 查看回显</t>
  </si>
  <si>
    <t>jpg/png 图片</t>
  </si>
  <si>
    <t>图片预览正常，保存后日记详情能显示图片</t>
  </si>
  <si>
    <t>TC-023</t>
  </si>
  <si>
    <t>拍照上传入口可用</t>
  </si>
  <si>
    <t>使用支持摄像头的浏览器/手机</t>
  </si>
  <si>
    <t>1. 点击手机拍照/拍照按钮
2. 授权摄像头
3. 拍照
4. 保存</t>
  </si>
  <si>
    <t>摄像头权限允许</t>
  </si>
  <si>
    <t>能调用摄像头并生成图片预览</t>
  </si>
  <si>
    <t>TC-024</t>
  </si>
  <si>
    <t>取消选择图片不会影响保存</t>
  </si>
  <si>
    <t>1. 点击本地选图
2. 取消选择
3. 输入内容并保存</t>
  </si>
  <si>
    <t>取消选图</t>
  </si>
  <si>
    <t>不报错，日记文本正常保存</t>
  </si>
  <si>
    <t>TC-025</t>
  </si>
  <si>
    <t>定位</t>
  </si>
  <si>
    <t>获取位置成功显示市区</t>
  </si>
  <si>
    <t>浏览器允许定位，高德 Key 正常</t>
  </si>
  <si>
    <t>1. 点击获取位置
2. 查看位置输入框和经纬度</t>
  </si>
  <si>
    <t>定位经纬度</t>
  </si>
  <si>
    <r>
      <t>显示如</t>
    </r>
    <r>
      <rPr>
        <sz val="10"/>
        <rFont val="Carlito"/>
        <charset val="134"/>
      </rPr>
      <t>“</t>
    </r>
    <r>
      <rPr>
        <sz val="10"/>
        <rFont val="宋体"/>
        <charset val="134"/>
      </rPr>
      <t>杭州市</t>
    </r>
    <r>
      <rPr>
        <sz val="10"/>
        <rFont val="Carlito"/>
        <charset val="134"/>
      </rPr>
      <t xml:space="preserve"> </t>
    </r>
    <r>
      <rPr>
        <sz val="10"/>
        <rFont val="宋体"/>
        <charset val="134"/>
      </rPr>
      <t>临平区</t>
    </r>
    <r>
      <rPr>
        <sz val="10"/>
        <rFont val="Carlito"/>
        <charset val="134"/>
      </rPr>
      <t>”</t>
    </r>
    <r>
      <rPr>
        <sz val="10"/>
        <rFont val="宋体"/>
        <charset val="134"/>
      </rPr>
      <t>，下方显示经纬度</t>
    </r>
  </si>
  <si>
    <t>下方显示经纬度，但没有市区</t>
  </si>
  <si>
    <t>Bug01</t>
  </si>
  <si>
    <t>TC-026</t>
  </si>
  <si>
    <t>拒绝定位权限有提示</t>
  </si>
  <si>
    <t>浏览器首次请求定位</t>
  </si>
  <si>
    <t>1. 点击获取位置
2. 浏览器选择拒绝</t>
  </si>
  <si>
    <t>拒绝权限</t>
  </si>
  <si>
    <t>页面提示获取位置失败，不影响其他日记内容保存</t>
  </si>
  <si>
    <t>TC-027</t>
  </si>
  <si>
    <t>高德逆地理编码失败兜底</t>
  </si>
  <si>
    <t>模拟 AMAP_KEY 为空或无效</t>
  </si>
  <si>
    <t>1. 清空/错误配置 AMAP_KEY
2. 重启后端
3. 点击获取位置</t>
  </si>
  <si>
    <t>无效 Key</t>
  </si>
  <si>
    <r>
      <t>经纬度可展示，位置名称显示</t>
    </r>
    <r>
      <rPr>
        <sz val="10"/>
        <rFont val="Carlito"/>
        <charset val="134"/>
      </rPr>
      <t>“</t>
    </r>
    <r>
      <rPr>
        <sz val="10"/>
        <rFont val="宋体"/>
        <charset val="134"/>
      </rPr>
      <t>当前位置</t>
    </r>
    <r>
      <rPr>
        <sz val="10"/>
        <rFont val="Carlito"/>
        <charset val="134"/>
      </rPr>
      <t>”</t>
    </r>
    <r>
      <rPr>
        <sz val="10"/>
        <rFont val="宋体"/>
        <charset val="134"/>
      </rPr>
      <t>或明确错误提示</t>
    </r>
  </si>
  <si>
    <r>
      <t>经纬度可展示，位置名称显示</t>
    </r>
    <r>
      <rPr>
        <sz val="10"/>
        <rFont val="Carlito"/>
        <charset val="134"/>
      </rPr>
      <t>“</t>
    </r>
    <r>
      <rPr>
        <sz val="10"/>
        <rFont val="宋体"/>
        <charset val="134"/>
      </rPr>
      <t>当前位置</t>
    </r>
    <r>
      <rPr>
        <sz val="10"/>
        <rFont val="Carlito"/>
        <charset val="134"/>
      </rPr>
      <t>”</t>
    </r>
  </si>
  <si>
    <t>TC-028</t>
  </si>
  <si>
    <t>日记回显</t>
  </si>
  <si>
    <t>保存后重新打开同一天可回显</t>
  </si>
  <si>
    <t>已成功保存某日记</t>
  </si>
  <si>
    <t>1. 点击同一日期
2. 打开编辑卡片</t>
  </si>
  <si>
    <t>已有日记日期</t>
  </si>
  <si>
    <r>
      <t>emoji</t>
    </r>
    <r>
      <rPr>
        <sz val="10"/>
        <rFont val="宋体"/>
        <charset val="134"/>
      </rPr>
      <t>、正文、关键词、图片、位置均正确回显</t>
    </r>
  </si>
  <si>
    <t>TC-029</t>
  </si>
  <si>
    <t>日记修改</t>
  </si>
  <si>
    <t>修改已有日记成功</t>
  </si>
  <si>
    <t>已存在一条日记</t>
  </si>
  <si>
    <t>1. 打开已有日记
2. 修改 emoji 和正文
3. 保存
4. 重新打开</t>
  </si>
  <si>
    <t>修改 emoji：💪</t>
  </si>
  <si>
    <t>修改后内容正确保存，无重复创建</t>
  </si>
  <si>
    <t>TC-030</t>
  </si>
  <si>
    <t>日记检索</t>
  </si>
  <si>
    <t>按关键词搜索日记</t>
  </si>
  <si>
    <t>存在包含关键词的日记</t>
  </si>
  <si>
    <t>1. 输入关键词
2. 点击搜索</t>
  </si>
  <si>
    <t>关键词：作业</t>
  </si>
  <si>
    <t>返回包含该关键词的日记列表</t>
  </si>
  <si>
    <t>TC-031</t>
  </si>
  <si>
    <t>情绪图谱</t>
  </si>
  <si>
    <t>本周情绪图谱展示正确</t>
  </si>
  <si>
    <t>本周有多条日记</t>
  </si>
  <si>
    <t>1. 进入日记首页
2. 查看本周情绪图谱</t>
  </si>
  <si>
    <t>本周记录</t>
  </si>
  <si>
    <t>7 天情绪图谱和对应关键词展示正确</t>
  </si>
  <si>
    <t>TC-032</t>
  </si>
  <si>
    <t>生成长图</t>
  </si>
  <si>
    <t>生成长图按钮可点击</t>
  </si>
  <si>
    <t>本周情绪图谱可见</t>
  </si>
  <si>
    <t>1. 点击生成长图
2. 查看生成结果</t>
  </si>
  <si>
    <t>生成图片或给出当前功能提示，不出现页面崩溃</t>
  </si>
  <si>
    <t>TC-033</t>
  </si>
  <si>
    <t>AI树洞</t>
  </si>
  <si>
    <t>日常树洞</t>
  </si>
  <si>
    <t>日常树洞发送消息并收到回复</t>
  </si>
  <si>
    <t>已登录，AI 模式可用</t>
  </si>
  <si>
    <t>1. 进入树洞
2. 选择日常闲聊
3. 进入日常树洞
4. 输入一句话并发送</t>
  </si>
  <si>
    <t>今天有点累</t>
  </si>
  <si>
    <t>右侧出现我的气泡，AI 返回一条温柔回复</t>
  </si>
  <si>
    <t>TC-034</t>
  </si>
  <si>
    <t>日常树洞支持新建会话</t>
  </si>
  <si>
    <t>已进入日常树洞</t>
  </si>
  <si>
    <t>1. 点击开启新对话
2. 发送消息
3. 查看左侧会话栏</t>
  </si>
  <si>
    <t>测试新会话</t>
  </si>
  <si>
    <t>左侧新增会话，当前消息归属新会话</t>
  </si>
  <si>
    <t>TC-035</t>
  </si>
  <si>
    <t>日常树洞切换历史会话</t>
  </si>
  <si>
    <t>左侧存在多个会话</t>
  </si>
  <si>
    <t>1. 点击不同会话
2. 查看右侧消息内容</t>
  </si>
  <si>
    <t>多个会话</t>
  </si>
  <si>
    <t>右侧显示对应会话内容，不串话</t>
  </si>
  <si>
    <t>TC-036</t>
  </si>
  <si>
    <t>日常树洞清空会话</t>
  </si>
  <si>
    <t>当前会话已有多条消息</t>
  </si>
  <si>
    <t>1. 点击清空会话
2. 观察消息区</t>
  </si>
  <si>
    <t>已有消息</t>
  </si>
  <si>
    <t>当前会话消息清空或恢复欢迎语，其他会话不受影响</t>
  </si>
  <si>
    <t>TC-037</t>
  </si>
  <si>
    <t>不保存聊天记录模式</t>
  </si>
  <si>
    <t>1. 取消勾选保存聊天记录
2. 发送消息
3. 刷新页面</t>
  </si>
  <si>
    <t>保存聊天记录：关闭</t>
  </si>
  <si>
    <t>临时聊天不应持久保存，或符合阅后即焚设计</t>
  </si>
  <si>
    <t>TC-038</t>
  </si>
  <si>
    <t>空消息不能发送</t>
  </si>
  <si>
    <t>1. 输入框为空
2. 点击发送</t>
  </si>
  <si>
    <t>空文本</t>
  </si>
  <si>
    <t>不发送请求，不新增空白消息</t>
  </si>
  <si>
    <t>TC-039</t>
  </si>
  <si>
    <t>超长消息发送处理</t>
  </si>
  <si>
    <t>1. 输入超长文本
2. 点击发送</t>
  </si>
  <si>
    <t>1000 字文本</t>
  </si>
  <si>
    <t>页面不崩溃，接口成功或给出明确提示</t>
  </si>
  <si>
    <t>TC-040</t>
  </si>
  <si>
    <t>情绪漂流瓶</t>
  </si>
  <si>
    <t>扔出漂流瓶成功收到 AI 回信</t>
  </si>
  <si>
    <t>已登录，进入情绪漂流瓶</t>
  </si>
  <si>
    <t>1. 选择心情 emoji
2. 输入匿名心情
3. 点击扔出漂流瓶</t>
  </si>
  <si>
    <t>emoji：😢
内容：今天有点委屈</t>
  </si>
  <si>
    <t>页面展示 AI 温柔回信</t>
  </si>
  <si>
    <t>TC-041</t>
  </si>
  <si>
    <t>空内容不能扔出漂流瓶</t>
  </si>
  <si>
    <t>已进入情绪漂流瓶</t>
  </si>
  <si>
    <t>1. 不输入内容
2. 点击扔出漂流瓶</t>
  </si>
  <si>
    <t>内容为空</t>
  </si>
  <si>
    <t>提示请先写下匿名心情</t>
  </si>
  <si>
    <t>TC-042</t>
  </si>
  <si>
    <t>不同 emoji 漂流瓶可提交</t>
  </si>
  <si>
    <t>1. 选择不同 emoji
2. 输入内容
3. 提交</t>
  </si>
  <si>
    <t>emoji：😊/💪/❤️</t>
  </si>
  <si>
    <t>提交成功，回信与情绪倾向基本匹配</t>
  </si>
  <si>
    <t>TC-043</t>
  </si>
  <si>
    <t>漂流瓶接口异常提示</t>
  </si>
  <si>
    <t>模拟后端关闭或接口异常</t>
  </si>
  <si>
    <t>1. 停止后端
2. 点击扔出漂流瓶</t>
  </si>
  <si>
    <t>后端不可用</t>
  </si>
  <si>
    <t>前端提示失败，不出现页面白屏</t>
  </si>
  <si>
    <t>TC-044</t>
  </si>
  <si>
    <t>人格对话</t>
  </si>
  <si>
    <t>人格切换</t>
  </si>
  <si>
    <t>选择人格后进入对应聊天页</t>
  </si>
  <si>
    <t>已登录，进入人格对话</t>
  </si>
  <si>
    <t>1. 点击 INTJ 人格卡片
2. 查看聊天页标题与气泡样式</t>
  </si>
  <si>
    <t>INTJ</t>
  </si>
  <si>
    <t>标题显示 INTJ，人格名称和主题色正确</t>
  </si>
  <si>
    <t>TC-045</t>
  </si>
  <si>
    <t>单人格聊天</t>
  </si>
  <si>
    <t>单人格聊天发送并收到回复</t>
  </si>
  <si>
    <t>已选择一个人格</t>
  </si>
  <si>
    <t>1. 输入烦恼
2. 点击发送</t>
  </si>
  <si>
    <t>我最近拖延严重</t>
  </si>
  <si>
    <t>我的消息显示在右侧，AI 消息显示在左侧</t>
  </si>
  <si>
    <t>TC-046</t>
  </si>
  <si>
    <t>人格差异</t>
  </si>
  <si>
    <t>不同 MBTI 回复风格不同</t>
  </si>
  <si>
    <t>AI 为 real 模式或 Mock 已区分人格</t>
  </si>
  <si>
    <t>1. 分别选择 INTJ/INFP/ENFP
2. 输入同一句话
3. 对比回复</t>
  </si>
  <si>
    <t>我最近很迷茫</t>
  </si>
  <si>
    <t>INTJ 偏分析规划，INFP 偏情绪接纳，ENFP 偏鼓励行动</t>
  </si>
  <si>
    <t>TC-047</t>
  </si>
  <si>
    <t>会话栏</t>
  </si>
  <si>
    <t>单人格聊天支持新建与切换会话</t>
  </si>
  <si>
    <t>已进入人格聊天页</t>
  </si>
  <si>
    <t>1. 点击开启新对话
2. 发送消息
3. 切换左侧会话</t>
  </si>
  <si>
    <t>测试会话切换</t>
  </si>
  <si>
    <t>不同会话消息隔离显示</t>
  </si>
  <si>
    <t>TC-048</t>
  </si>
  <si>
    <t>不同人格会话隔离</t>
  </si>
  <si>
    <t>已与 INTJ 和 ESFJ 分别聊天</t>
  </si>
  <si>
    <t>1. 进入 INTJ 查看会话
2. 切换 ESFJ 查看会话</t>
  </si>
  <si>
    <t>INTJ/ESFJ</t>
  </si>
  <si>
    <t>两个人格的会话列表和消息内容不混淆</t>
  </si>
  <si>
    <t>TC-049</t>
  </si>
  <si>
    <t>清空会话</t>
  </si>
  <si>
    <t>单人格聊天清空当前会话</t>
  </si>
  <si>
    <t>当前人格会话已有消息</t>
  </si>
  <si>
    <t>1. 点击清空会话
2. 查看消息区</t>
  </si>
  <si>
    <t>当前会话被清空或恢复欢迎语</t>
  </si>
  <si>
    <t>TC-050</t>
  </si>
  <si>
    <t>保存聊天记录</t>
  </si>
  <si>
    <t>保存聊天记录开关有效</t>
  </si>
  <si>
    <t>已进入人格聊天</t>
  </si>
  <si>
    <t>1. 关闭保存聊天记录
2. 发送消息
3. 刷新页面</t>
  </si>
  <si>
    <t>保存记录关闭</t>
  </si>
  <si>
    <t>临时消息不持久保存或符合功能设计</t>
  </si>
  <si>
    <t>TC-051</t>
  </si>
  <si>
    <t>心灵盲盒</t>
  </si>
  <si>
    <t>抽取心灵盲盒成功</t>
  </si>
  <si>
    <t>已登录，进入心灵盲盒</t>
  </si>
  <si>
    <t>1. 点击抽一个心灵盲盒</t>
  </si>
  <si>
    <t>左侧新增盲盒会话，右侧显示随机人格和随机话题</t>
  </si>
  <si>
    <t>TC-052</t>
  </si>
  <si>
    <t>心灵盲盒继续回复</t>
  </si>
  <si>
    <t>已抽取一个盲盒</t>
  </si>
  <si>
    <t>1. 在输入框回复
2. 点击发送</t>
  </si>
  <si>
    <t>我其实很在意别人的评价</t>
  </si>
  <si>
    <t>我的回复在右侧，AI 继续围绕盲盒话题回应</t>
  </si>
  <si>
    <t>TC-053</t>
  </si>
  <si>
    <t>心灵盲盒左侧会话切换</t>
  </si>
  <si>
    <t>已抽取多个盲盒</t>
  </si>
  <si>
    <t>1. 点击左侧不同盲盒会话</t>
  </si>
  <si>
    <t>多个盲盒会话</t>
  </si>
  <si>
    <t>右侧展示对应人格、话题和聊天记录</t>
  </si>
  <si>
    <t>TC-054</t>
  </si>
  <si>
    <t>心灵盲盒保存为日记</t>
  </si>
  <si>
    <t>已有盲盒对话</t>
  </si>
  <si>
    <t>1. 点击保存为日记
2. 进入情绪日记查看当天记录</t>
  </si>
  <si>
    <t>盲盒对话</t>
  </si>
  <si>
    <t>保存成功，日记内容包含人格、话题和对话</t>
  </si>
  <si>
    <t>TC-055</t>
  </si>
  <si>
    <t>重复抽取不覆盖旧会话</t>
  </si>
  <si>
    <t>已存在一个盲盒会话</t>
  </si>
  <si>
    <t>1. 点击重新抽取
2. 查看左侧列表</t>
  </si>
  <si>
    <t>新增一个会话，旧会话仍可查看</t>
  </si>
  <si>
    <t>TC-056</t>
  </si>
  <si>
    <t>人格面具</t>
  </si>
  <si>
    <t>创建自定义人格成功</t>
  </si>
  <si>
    <t>已登录，进入人格面具</t>
  </si>
  <si>
    <t>1. 选择基础 MBTI
2. 输入人格名称和自定义提示
3. 点击保存</t>
  </si>
  <si>
    <t>名称：猫猫安慰师
基础：INFP
提示：多用猫猫语气</t>
  </si>
  <si>
    <t>保存成功，返回人格对话后可在“我的”或自定义列表看到</t>
  </si>
  <si>
    <t>TC-057</t>
  </si>
  <si>
    <t>自定义人格参与聊天</t>
  </si>
  <si>
    <t>已创建自定义人格</t>
  </si>
  <si>
    <t>1. 选择自定义人格
2. 发送消息</t>
  </si>
  <si>
    <t>我今天有点难过</t>
  </si>
  <si>
    <t>AI 回复体现自定义提示，如更温柔或猫猫语气</t>
  </si>
  <si>
    <t>TC-058</t>
  </si>
  <si>
    <t>编辑自定义人格成功</t>
  </si>
  <si>
    <t>已存在自定义人格</t>
  </si>
  <si>
    <t>1. 打开人格面具
2. 修改提示词
3. 保存
4. 再次聊天</t>
  </si>
  <si>
    <t>修改提示：简短回复</t>
  </si>
  <si>
    <t>保存成功，新回复体现修改后的提示</t>
  </si>
  <si>
    <t>TC-059</t>
  </si>
  <si>
    <t>删除自定义人格成功</t>
  </si>
  <si>
    <t>1. 点击删除
2. 确认
3. 返回人格列表</t>
  </si>
  <si>
    <t>自定义人格</t>
  </si>
  <si>
    <t>删除后列表不再显示该人格</t>
  </si>
  <si>
    <t>TC-060</t>
  </si>
  <si>
    <t>空名称不能创建人格</t>
  </si>
  <si>
    <t>进入人格面具</t>
  </si>
  <si>
    <t>1. 名称为空
2. 填写提示词
3. 点击保存</t>
  </si>
  <si>
    <t>名称为空</t>
  </si>
  <si>
    <t>提示名称不能为空或保存失败提示明确</t>
  </si>
  <si>
    <t>TC-061</t>
  </si>
  <si>
    <t>多人格对战</t>
  </si>
  <si>
    <t>选择 2-4 人格后开始对话</t>
  </si>
  <si>
    <t>已登录，进入多人格对战</t>
  </si>
  <si>
    <t>1. 选择 INTJ/ENFP/ESFJ
2. 点击开始这场对话</t>
  </si>
  <si>
    <t>3 个人格</t>
  </si>
  <si>
    <t>进入微信式聊天页，右侧输入框可用</t>
  </si>
  <si>
    <t>TC-062</t>
  </si>
  <si>
    <t>用户发言后每个人格各回复一句</t>
  </si>
  <si>
    <t>已开始多人格对战</t>
  </si>
  <si>
    <t>1. 输入一句话
2. 点击发送
3. 等待回复</t>
  </si>
  <si>
    <t>我最近在写作业</t>
  </si>
  <si>
    <t>右侧出现用户气泡，左侧依次出现所选人格回复</t>
  </si>
  <si>
    <t>TC-063</t>
  </si>
  <si>
    <t>结束会话生成总结</t>
  </si>
  <si>
    <t>对战会话已有消息</t>
  </si>
  <si>
    <t>1. 点击结束会话
2. 等待总结</t>
  </si>
  <si>
    <t>已有多人格对话</t>
  </si>
  <si>
    <t>页面出现本次会话总结，输入框变为结束状态操作</t>
  </si>
  <si>
    <t>TC-064</t>
  </si>
  <si>
    <t>多人格对战保存为日记</t>
  </si>
  <si>
    <t>对战已结束且有总结</t>
  </si>
  <si>
    <t>1. 点击保存为日记
2. 进入日记查看</t>
  </si>
  <si>
    <t>对战内容</t>
  </si>
  <si>
    <t>日记保存成功，内容包含话题、对话和总结</t>
  </si>
  <si>
    <t>TC-065</t>
  </si>
  <si>
    <t>少于 2 个人格不能开始</t>
  </si>
  <si>
    <t>进入多人格对战设置页</t>
  </si>
  <si>
    <t>1. 只选择 1 个人格
2. 点击开始</t>
  </si>
  <si>
    <t>1 个人格</t>
  </si>
  <si>
    <t>提示至少选择 2 个人格</t>
  </si>
  <si>
    <t>TC-066</t>
  </si>
  <si>
    <t>超过 4 个人格不能选择</t>
  </si>
  <si>
    <t>1. 连续选择 5 个人格</t>
  </si>
  <si>
    <t>5 个人格</t>
  </si>
  <si>
    <t>第 5 个不能选择，并提示最多 4 个</t>
  </si>
  <si>
    <t>TC-067</t>
  </si>
  <si>
    <t>历史对战刷新后仍存在</t>
  </si>
  <si>
    <t>已创建并发送过对战会话</t>
  </si>
  <si>
    <t>1. 刷新页面
2. 重新进入人格对战
3. 查看左侧会话栏</t>
  </si>
  <si>
    <t>已有对战会话</t>
  </si>
  <si>
    <t>左侧历史会话仍存在，点击后消息回显</t>
  </si>
  <si>
    <t>TC-068</t>
  </si>
  <si>
    <t>重新开始当前对战</t>
  </si>
  <si>
    <t>1. 点击重新开始
2. 查看页面状态</t>
  </si>
  <si>
    <t>当前会话回到设置/初始状态，消息清空或按设计处理</t>
  </si>
  <si>
    <t>TC-069</t>
  </si>
  <si>
    <t>AI 回复失败时提示</t>
  </si>
  <si>
    <t>模拟 DeepSeek 异常或网络失败</t>
  </si>
  <si>
    <t>1. 关闭 AI Key 或断网
2. 发送对战消息</t>
  </si>
  <si>
    <t>AI 异常</t>
  </si>
  <si>
    <t>页面显示失败提示，不中断其他人格/页面操作</t>
  </si>
  <si>
    <t>TC-070</t>
  </si>
  <si>
    <t>接口测试</t>
  </si>
  <si>
    <t>登录接口</t>
  </si>
  <si>
    <t>登录接口返回 token</t>
  </si>
  <si>
    <t>后端启动</t>
  </si>
  <si>
    <t>1. 使用 Postman 请求 POST /api/auth/login
2. 查看响应</t>
  </si>
  <si>
    <t>username=demo,password=123456</t>
  </si>
  <si>
    <t>响应 code=200，data 中包含 token</t>
  </si>
  <si>
    <t>TC-071</t>
  </si>
  <si>
    <t>日记接口</t>
  </si>
  <si>
    <t>保存日记接口成功</t>
  </si>
  <si>
    <t>已登录获取 token</t>
  </si>
  <si>
    <t>1. POST /api/diaries
2. 携带 Authorization
3. 提交日记 JSON</t>
  </si>
  <si>
    <t>emoji/content/date</t>
  </si>
  <si>
    <t>响应成功，数据库中可查询到日记</t>
  </si>
  <si>
    <t>TC-072</t>
  </si>
  <si>
    <t>聊天接口</t>
  </si>
  <si>
    <t>聊天接口返回 AI 回复</t>
  </si>
  <si>
    <t>1. POST /api/ai/chat/send
2. 传入 chatType/persona/content</t>
  </si>
  <si>
    <t>chatType=PERSONA, persona=INTJ</t>
  </si>
  <si>
    <t>响应包含 sessionId 和 reply</t>
  </si>
  <si>
    <t>TC-073</t>
  </si>
  <si>
    <t>定位接口</t>
  </si>
  <si>
    <t>逆地理编码接口返回市区</t>
  </si>
  <si>
    <t>AMAP_KEY 正常</t>
  </si>
  <si>
    <t>1. GET /api/location/reverse?lat=30.3227&amp;lng=120.3420</t>
  </si>
  <si>
    <t>lat/lng</t>
  </si>
  <si>
    <t>返回 province/city/district/locationName</t>
  </si>
  <si>
    <t>TC-074</t>
  </si>
  <si>
    <t>多人格对战接口</t>
  </si>
  <si>
    <t>创建多人格对战会话接口成功</t>
  </si>
  <si>
    <t>1. POST /api/persona-battle-sessions
2. 提交 personas 数组</t>
  </si>
  <si>
    <t>personas=[INTJ,ENFP]</t>
  </si>
  <si>
    <t>返回会话 id、title、personaCodes、status</t>
  </si>
  <si>
    <t>TC-075</t>
  </si>
  <si>
    <t>异常测试</t>
  </si>
  <si>
    <t>未登录访问</t>
  </si>
  <si>
    <t>未带 token 调用受保护接口失败</t>
  </si>
  <si>
    <t>清空 localStorage token</t>
  </si>
  <si>
    <t>1. 清空 token
2. 访问 /api/diaries 或聊天接口</t>
  </si>
  <si>
    <t>无 token</t>
  </si>
  <si>
    <t>接口拒绝访问或前端跳转登录</t>
  </si>
  <si>
    <t>TC-076</t>
  </si>
  <si>
    <t>后端关闭</t>
  </si>
  <si>
    <t>后端关闭时前端有错误提示</t>
  </si>
  <si>
    <t>停止后端服务</t>
  </si>
  <si>
    <t>1. 前端发送聊天或保存日记</t>
  </si>
  <si>
    <t>页面提示请求失败，不白屏</t>
  </si>
  <si>
    <t>TC-077</t>
  </si>
  <si>
    <t>DeepSeek Key 异常</t>
  </si>
  <si>
    <t>AI Key 异常时有兜底提示</t>
  </si>
  <si>
    <t>配置错误 DEEPSEEK_API_KEY 并重启后端</t>
  </si>
  <si>
    <t>1. 进入聊天
2. 发送消息</t>
  </si>
  <si>
    <t>错误 Key</t>
  </si>
  <si>
    <t>页面提示 AI 回复失败或返回 Mock/兜底文案</t>
  </si>
  <si>
    <t>TC-078</t>
  </si>
  <si>
    <t>图片过大</t>
  </si>
  <si>
    <t>上传过大图片处理</t>
  </si>
  <si>
    <t>准备较大图片文件</t>
  </si>
  <si>
    <t>1. 上传大图
2. 保存日记</t>
  </si>
  <si>
    <t>5MB 以上图片</t>
  </si>
  <si>
    <t>上传失败有提示或压缩成功，页面不崩溃</t>
  </si>
  <si>
    <t>TC-079</t>
  </si>
  <si>
    <t>兼容性测试</t>
  </si>
  <si>
    <t>Chrome</t>
  </si>
  <si>
    <t>Chrome 浏览器主要流程正常</t>
  </si>
  <si>
    <t>使用 Chrome</t>
  </si>
  <si>
    <t>1. 登录
2. 新增日记
3. 发送 AI 消息</t>
  </si>
  <si>
    <t>Chrome 最新版</t>
  </si>
  <si>
    <t>主要流程正常</t>
  </si>
  <si>
    <t>TC-080</t>
  </si>
  <si>
    <t>手机访问</t>
  </si>
  <si>
    <t>手机浏览器打开站点</t>
  </si>
  <si>
    <t>电脑和手机同一局域网</t>
  </si>
  <si>
    <t>1. 使用手机访问电脑 IP:5173
2. 登录/游客登录
3. 测试日记和树洞</t>
  </si>
  <si>
    <t>手机浏览器</t>
  </si>
  <si>
    <t>页面自适应，可进行基础操作</t>
  </si>
  <si>
    <t>TC-081</t>
  </si>
  <si>
    <t>移动端拍照</t>
  </si>
  <si>
    <t>手机端拍照上传可用</t>
  </si>
  <si>
    <t>手机访问系统并允许相机权限</t>
  </si>
  <si>
    <t>1. 进入日记编辑
2. 点击拍照
3. 保存</t>
  </si>
  <si>
    <t>手机相机</t>
  </si>
  <si>
    <t>能够拍照并保存/预览图片</t>
  </si>
  <si>
    <t>MoodBoard × MBTI 功能测试汇总</t>
  </si>
  <si>
    <t>统计项</t>
  </si>
  <si>
    <t>数量</t>
  </si>
  <si>
    <t>说明</t>
  </si>
  <si>
    <t>总用例数</t>
  </si>
  <si>
    <t>当前测试用例总数</t>
  </si>
  <si>
    <t>P0 用例数</t>
  </si>
  <si>
    <t>核心主流程</t>
  </si>
  <si>
    <t>P1 用例数</t>
  </si>
  <si>
    <t>重要功能</t>
  </si>
  <si>
    <t>P2 用例数</t>
  </si>
  <si>
    <t>体验与边界</t>
  </si>
  <si>
    <t>通过数</t>
  </si>
  <si>
    <t>执行状态为通过</t>
  </si>
  <si>
    <t>失败数</t>
  </si>
  <si>
    <t>执行状态为失败</t>
  </si>
  <si>
    <t>阻塞数</t>
  </si>
  <si>
    <t>执行状态为阻塞</t>
  </si>
  <si>
    <t>未执行数</t>
  </si>
  <si>
    <t>尚未执行</t>
  </si>
  <si>
    <t>通过率</t>
  </si>
  <si>
    <t>通过数 / 总用例数</t>
  </si>
  <si>
    <t>通过</t>
  </si>
  <si>
    <t>失败</t>
  </si>
  <si>
    <t>阻塞</t>
  </si>
  <si>
    <t>不适用</t>
  </si>
  <si>
    <t>缺陷编号</t>
  </si>
  <si>
    <t>所属模块</t>
  </si>
  <si>
    <t>关联用例ID</t>
  </si>
  <si>
    <t>缺陷标题</t>
  </si>
  <si>
    <t>严重程度</t>
  </si>
  <si>
    <t>复现步骤</t>
  </si>
  <si>
    <t>状态</t>
  </si>
  <si>
    <t>负责人</t>
  </si>
  <si>
    <t>备注</t>
  </si>
  <si>
    <t>BUG-001</t>
  </si>
  <si>
    <t>高</t>
  </si>
  <si>
    <t>待修复</t>
  </si>
  <si>
    <t>BUG-002</t>
  </si>
  <si>
    <t>中</t>
  </si>
  <si>
    <t>BUG-003</t>
  </si>
  <si>
    <t>低</t>
  </si>
  <si>
    <t>BUG-004</t>
  </si>
  <si>
    <t>BUG-005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</si>
</sst>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6"/>
      <color rgb="FFFFFFFF"/>
      <name val="Carlito"/>
      <charset val="134"/>
    </font>
    <font>
      <b/>
      <sz val="11"/>
      <name val="Carlito"/>
      <charset val="134"/>
    </font>
    <font>
      <sz val="10"/>
      <name val="Carlito"/>
      <charset val="134"/>
    </font>
    <font>
      <sz val="10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7A6A58"/>
        <bgColor indexed="64"/>
      </patternFill>
    </fill>
    <fill>
      <patternFill patternType="solid">
        <fgColor rgb="FFEADBC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0" fillId="0" borderId="0"/>
  </cellStyleXfs>
  <cellXfs count="10">
    <xf numFmtId="0" fontId="0" fillId="0" borderId="0" xfId="49"/>
    <xf numFmtId="0" fontId="1" fillId="2" borderId="0" xfId="49" applyNumberFormat="1" applyFont="1" applyFill="1" applyBorder="1" applyAlignment="1">
      <alignment horizontal="center" vertical="center" wrapText="1"/>
    </xf>
    <xf numFmtId="0" fontId="0" fillId="0" borderId="0" xfId="49" applyNumberFormat="1" applyFont="1" applyFill="1" applyBorder="1" applyAlignment="1">
      <alignment vertical="top" wrapText="1"/>
    </xf>
    <xf numFmtId="0" fontId="1" fillId="2" borderId="0" xfId="49" applyNumberFormat="1" applyFont="1" applyFill="1" applyBorder="1"/>
    <xf numFmtId="0" fontId="2" fillId="2" borderId="0" xfId="49" applyNumberFormat="1" applyFont="1" applyFill="1" applyBorder="1" applyAlignment="1">
      <alignment horizontal="center" vertical="center"/>
    </xf>
    <xf numFmtId="0" fontId="3" fillId="3" borderId="0" xfId="49" applyNumberFormat="1" applyFont="1" applyFill="1" applyBorder="1" applyAlignment="1">
      <alignment horizontal="center"/>
    </xf>
    <xf numFmtId="0" fontId="0" fillId="0" borderId="0" xfId="49" applyNumberFormat="1" applyFont="1" applyFill="1" applyBorder="1" applyAlignment="1">
      <alignment wrapText="1"/>
    </xf>
    <xf numFmtId="10" fontId="0" fillId="0" borderId="0" xfId="49" applyNumberFormat="1" applyFont="1" applyFill="1" applyBorder="1" applyAlignment="1">
      <alignment wrapText="1"/>
    </xf>
    <xf numFmtId="0" fontId="4" fillId="0" borderId="0" xfId="49" applyNumberFormat="1" applyFont="1" applyFill="1" applyBorder="1" applyAlignment="1">
      <alignment vertical="top" wrapText="1"/>
    </xf>
    <xf numFmtId="0" fontId="5" fillId="0" borderId="0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2"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CACA"/>
        </patternFill>
      </fill>
    </dxf>
    <dxf>
      <fill>
        <patternFill patternType="solid">
          <bgColor rgb="FFE0E7FF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FunctionalTestCases" displayName="FunctionalTestCases" ref="A1:L82">
  <tableColumns count="12">
    <tableColumn id="1" name="用例ID"/>
    <tableColumn id="2" name="模块"/>
    <tableColumn id="3" name="功能点"/>
    <tableColumn id="4" name="优先级"/>
    <tableColumn id="5" name="用例标题"/>
    <tableColumn id="6" name="前置条件"/>
    <tableColumn id="7" name="测试步骤"/>
    <tableColumn id="8" name="测试数据"/>
    <tableColumn id="9" name="预期结果"/>
    <tableColumn id="10" name="实际结果"/>
    <tableColumn id="11" name="执行状态"/>
    <tableColumn id="12" name="缺陷编号/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Table" displayName="SummaryTable" ref="A2:D11">
  <tableColumns count="4">
    <tableColumn id="1" name="统计项"/>
    <tableColumn id="2" name="数量"/>
    <tableColumn id="3" name="说明"/>
    <tableColumn id="4" name="Column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BugTemplateTable" displayName="BugTemplateTable" ref="A1:L6">
  <tableColumns count="12">
    <tableColumn id="1" name="缺陷编号"/>
    <tableColumn id="2" name="所属模块"/>
    <tableColumn id="3" name="关联用例ID"/>
    <tableColumn id="4" name="缺陷标题"/>
    <tableColumn id="5" name="严重程度"/>
    <tableColumn id="6" name="优先级"/>
    <tableColumn id="7" name="复现步骤"/>
    <tableColumn id="8" name="预期结果"/>
    <tableColumn id="9" name="实际结果"/>
    <tableColumn id="10" name="状态"/>
    <tableColumn id="11" name="负责人"/>
    <tableColumn id="12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2"/>
  <sheetViews>
    <sheetView tabSelected="1" topLeftCell="G25" workbookViewId="0">
      <selection activeCell="L28" sqref="L28"/>
    </sheetView>
  </sheetViews>
  <sheetFormatPr defaultColWidth="9" defaultRowHeight="13.5"/>
  <cols>
    <col min="1" max="1" width="10" customWidth="1"/>
    <col min="2" max="2" width="12" customWidth="1"/>
    <col min="3" max="3" width="16" customWidth="1"/>
    <col min="4" max="4" width="8" customWidth="1"/>
    <col min="5" max="6" width="28" customWidth="1"/>
    <col min="7" max="7" width="40" customWidth="1"/>
    <col min="8" max="8" width="28" customWidth="1"/>
    <col min="9" max="9" width="38" customWidth="1"/>
    <col min="10" max="10" width="20" customWidth="1"/>
    <col min="11" max="11" width="12" customWidth="1"/>
    <col min="12" max="12" width="18" customWidth="1"/>
  </cols>
  <sheetData>
    <row r="1" ht="30" customHeight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60" customHeight="1" spans="1:12">
      <c r="A2" s="8" t="s">
        <v>12</v>
      </c>
      <c r="B2" s="8" t="s">
        <v>13</v>
      </c>
      <c r="C2" s="8" t="s">
        <v>14</v>
      </c>
      <c r="D2" s="8" t="s">
        <v>15</v>
      </c>
      <c r="E2" s="8" t="s">
        <v>16</v>
      </c>
      <c r="F2" s="8" t="s">
        <v>17</v>
      </c>
      <c r="G2" s="8" t="s">
        <v>18</v>
      </c>
      <c r="H2" s="8" t="s">
        <v>19</v>
      </c>
      <c r="I2" s="9" t="s">
        <v>20</v>
      </c>
      <c r="J2" s="9" t="s">
        <v>20</v>
      </c>
      <c r="K2" s="9" t="s">
        <v>21</v>
      </c>
      <c r="L2" s="8" t="s">
        <v>22</v>
      </c>
    </row>
    <row r="3" ht="60" customHeight="1" spans="1:12">
      <c r="A3" s="8" t="s">
        <v>23</v>
      </c>
      <c r="B3" s="8" t="s">
        <v>13</v>
      </c>
      <c r="C3" s="8" t="s">
        <v>14</v>
      </c>
      <c r="D3" s="8" t="s">
        <v>15</v>
      </c>
      <c r="E3" s="8" t="s">
        <v>24</v>
      </c>
      <c r="F3" s="8" t="s">
        <v>25</v>
      </c>
      <c r="G3" s="8" t="s">
        <v>26</v>
      </c>
      <c r="H3" s="8" t="s">
        <v>27</v>
      </c>
      <c r="I3" s="9" t="s">
        <v>28</v>
      </c>
      <c r="J3" s="9" t="s">
        <v>28</v>
      </c>
      <c r="K3" s="9" t="s">
        <v>29</v>
      </c>
      <c r="L3" s="8" t="s">
        <v>22</v>
      </c>
    </row>
    <row r="4" ht="60" customHeight="1" spans="1:12">
      <c r="A4" s="8" t="s">
        <v>30</v>
      </c>
      <c r="B4" s="8" t="s">
        <v>13</v>
      </c>
      <c r="C4" s="8" t="s">
        <v>14</v>
      </c>
      <c r="D4" s="8" t="s">
        <v>31</v>
      </c>
      <c r="E4" s="8" t="s">
        <v>32</v>
      </c>
      <c r="F4" s="8" t="s">
        <v>25</v>
      </c>
      <c r="G4" s="8" t="s">
        <v>33</v>
      </c>
      <c r="H4" s="8" t="s">
        <v>34</v>
      </c>
      <c r="I4" s="9" t="s">
        <v>35</v>
      </c>
      <c r="J4" s="9" t="s">
        <v>35</v>
      </c>
      <c r="K4" s="8" t="s">
        <v>29</v>
      </c>
      <c r="L4" s="8" t="s">
        <v>22</v>
      </c>
    </row>
    <row r="5" ht="60" customHeight="1" spans="1:12">
      <c r="A5" s="8" t="s">
        <v>36</v>
      </c>
      <c r="B5" s="8" t="s">
        <v>13</v>
      </c>
      <c r="C5" s="8" t="s">
        <v>14</v>
      </c>
      <c r="D5" s="8" t="s">
        <v>31</v>
      </c>
      <c r="E5" s="8" t="s">
        <v>37</v>
      </c>
      <c r="F5" s="8" t="s">
        <v>25</v>
      </c>
      <c r="G5" s="8" t="s">
        <v>38</v>
      </c>
      <c r="H5" s="8" t="s">
        <v>39</v>
      </c>
      <c r="I5" s="9" t="s">
        <v>40</v>
      </c>
      <c r="J5" s="9" t="s">
        <v>40</v>
      </c>
      <c r="K5" s="8" t="s">
        <v>29</v>
      </c>
      <c r="L5" s="8" t="s">
        <v>22</v>
      </c>
    </row>
    <row r="6" ht="60" customHeight="1" spans="1:12">
      <c r="A6" s="8" t="s">
        <v>41</v>
      </c>
      <c r="B6" s="8" t="s">
        <v>13</v>
      </c>
      <c r="C6" s="8" t="s">
        <v>42</v>
      </c>
      <c r="D6" s="8" t="s">
        <v>15</v>
      </c>
      <c r="E6" s="8" t="s">
        <v>43</v>
      </c>
      <c r="F6" s="8" t="s">
        <v>44</v>
      </c>
      <c r="G6" s="8" t="s">
        <v>45</v>
      </c>
      <c r="H6" s="8" t="s">
        <v>46</v>
      </c>
      <c r="I6" s="9" t="s">
        <v>47</v>
      </c>
      <c r="J6" s="9" t="s">
        <v>47</v>
      </c>
      <c r="K6" s="8" t="s">
        <v>29</v>
      </c>
      <c r="L6" s="8" t="s">
        <v>22</v>
      </c>
    </row>
    <row r="7" ht="60" customHeight="1" spans="1:12">
      <c r="A7" s="8" t="s">
        <v>48</v>
      </c>
      <c r="B7" s="8" t="s">
        <v>13</v>
      </c>
      <c r="C7" s="8" t="s">
        <v>42</v>
      </c>
      <c r="D7" s="8" t="s">
        <v>31</v>
      </c>
      <c r="E7" s="8" t="s">
        <v>49</v>
      </c>
      <c r="F7" s="8" t="s">
        <v>50</v>
      </c>
      <c r="G7" s="8" t="s">
        <v>51</v>
      </c>
      <c r="H7" s="8" t="s">
        <v>19</v>
      </c>
      <c r="I7" s="9" t="s">
        <v>52</v>
      </c>
      <c r="J7" s="9" t="s">
        <v>52</v>
      </c>
      <c r="K7" s="8" t="s">
        <v>29</v>
      </c>
      <c r="L7" s="8" t="s">
        <v>22</v>
      </c>
    </row>
    <row r="8" ht="60" customHeight="1" spans="1:12">
      <c r="A8" s="8" t="s">
        <v>53</v>
      </c>
      <c r="B8" s="8" t="s">
        <v>13</v>
      </c>
      <c r="C8" s="8" t="s">
        <v>54</v>
      </c>
      <c r="D8" s="8" t="s">
        <v>15</v>
      </c>
      <c r="E8" s="8" t="s">
        <v>55</v>
      </c>
      <c r="F8" s="8" t="s">
        <v>25</v>
      </c>
      <c r="G8" s="8" t="s">
        <v>56</v>
      </c>
      <c r="H8" s="8" t="s">
        <v>57</v>
      </c>
      <c r="I8" s="9" t="s">
        <v>58</v>
      </c>
      <c r="J8" s="9" t="s">
        <v>58</v>
      </c>
      <c r="K8" s="8" t="s">
        <v>29</v>
      </c>
      <c r="L8" s="8" t="s">
        <v>22</v>
      </c>
    </row>
    <row r="9" ht="60" customHeight="1" spans="1:12">
      <c r="A9" s="8" t="s">
        <v>59</v>
      </c>
      <c r="B9" s="8" t="s">
        <v>13</v>
      </c>
      <c r="C9" s="8" t="s">
        <v>54</v>
      </c>
      <c r="D9" s="8" t="s">
        <v>31</v>
      </c>
      <c r="E9" s="8" t="s">
        <v>60</v>
      </c>
      <c r="F9" s="8" t="s">
        <v>61</v>
      </c>
      <c r="G9" s="8" t="s">
        <v>62</v>
      </c>
      <c r="H9" s="8" t="s">
        <v>63</v>
      </c>
      <c r="I9" s="9" t="s">
        <v>64</v>
      </c>
      <c r="J9" s="9" t="s">
        <v>64</v>
      </c>
      <c r="K9" s="8" t="s">
        <v>29</v>
      </c>
      <c r="L9" s="8" t="s">
        <v>22</v>
      </c>
    </row>
    <row r="10" ht="60" customHeight="1" spans="1:12">
      <c r="A10" s="8" t="s">
        <v>65</v>
      </c>
      <c r="B10" s="8" t="s">
        <v>13</v>
      </c>
      <c r="C10" s="8" t="s">
        <v>66</v>
      </c>
      <c r="D10" s="8" t="s">
        <v>67</v>
      </c>
      <c r="E10" s="8" t="s">
        <v>68</v>
      </c>
      <c r="F10" s="8" t="s">
        <v>69</v>
      </c>
      <c r="G10" s="8" t="s">
        <v>70</v>
      </c>
      <c r="H10" s="8" t="s">
        <v>57</v>
      </c>
      <c r="I10" s="9" t="s">
        <v>71</v>
      </c>
      <c r="J10" s="9" t="s">
        <v>71</v>
      </c>
      <c r="K10" s="8" t="s">
        <v>29</v>
      </c>
      <c r="L10" s="8" t="s">
        <v>22</v>
      </c>
    </row>
    <row r="11" ht="60" customHeight="1" spans="1:12">
      <c r="A11" s="8" t="s">
        <v>72</v>
      </c>
      <c r="B11" s="8" t="s">
        <v>73</v>
      </c>
      <c r="C11" s="8" t="s">
        <v>74</v>
      </c>
      <c r="D11" s="8" t="s">
        <v>15</v>
      </c>
      <c r="E11" s="8" t="s">
        <v>75</v>
      </c>
      <c r="F11" s="8" t="s">
        <v>76</v>
      </c>
      <c r="G11" s="8" t="s">
        <v>77</v>
      </c>
      <c r="H11" s="8" t="s">
        <v>78</v>
      </c>
      <c r="I11" s="9" t="s">
        <v>79</v>
      </c>
      <c r="J11" s="9" t="s">
        <v>79</v>
      </c>
      <c r="K11" s="8" t="s">
        <v>29</v>
      </c>
      <c r="L11" s="8" t="s">
        <v>22</v>
      </c>
    </row>
    <row r="12" ht="60" customHeight="1" spans="1:12">
      <c r="A12" s="8" t="s">
        <v>80</v>
      </c>
      <c r="B12" s="8" t="s">
        <v>73</v>
      </c>
      <c r="C12" s="8" t="s">
        <v>81</v>
      </c>
      <c r="D12" s="8" t="s">
        <v>31</v>
      </c>
      <c r="E12" s="8" t="s">
        <v>82</v>
      </c>
      <c r="F12" s="8" t="s">
        <v>83</v>
      </c>
      <c r="G12" s="8" t="s">
        <v>84</v>
      </c>
      <c r="H12" s="8" t="s">
        <v>85</v>
      </c>
      <c r="I12" s="9" t="s">
        <v>86</v>
      </c>
      <c r="J12" s="9" t="s">
        <v>86</v>
      </c>
      <c r="K12" s="8" t="s">
        <v>29</v>
      </c>
      <c r="L12" s="8" t="s">
        <v>22</v>
      </c>
    </row>
    <row r="13" ht="60" customHeight="1" spans="1:12">
      <c r="A13" s="8" t="s">
        <v>87</v>
      </c>
      <c r="B13" s="8" t="s">
        <v>73</v>
      </c>
      <c r="C13" s="8" t="s">
        <v>81</v>
      </c>
      <c r="D13" s="8" t="s">
        <v>67</v>
      </c>
      <c r="E13" s="8" t="s">
        <v>88</v>
      </c>
      <c r="F13" s="8" t="s">
        <v>89</v>
      </c>
      <c r="G13" s="8" t="s">
        <v>90</v>
      </c>
      <c r="H13" s="8" t="s">
        <v>91</v>
      </c>
      <c r="I13" s="9" t="s">
        <v>92</v>
      </c>
      <c r="J13" s="9" t="s">
        <v>92</v>
      </c>
      <c r="K13" s="8" t="s">
        <v>29</v>
      </c>
      <c r="L13" s="8" t="s">
        <v>22</v>
      </c>
    </row>
    <row r="14" ht="60" customHeight="1" spans="1:12">
      <c r="A14" s="8" t="s">
        <v>93</v>
      </c>
      <c r="B14" s="8" t="s">
        <v>94</v>
      </c>
      <c r="C14" s="8" t="s">
        <v>95</v>
      </c>
      <c r="D14" s="8" t="s">
        <v>15</v>
      </c>
      <c r="E14" s="8" t="s">
        <v>96</v>
      </c>
      <c r="F14" s="8" t="s">
        <v>97</v>
      </c>
      <c r="G14" s="8" t="s">
        <v>98</v>
      </c>
      <c r="H14" s="8" t="s">
        <v>99</v>
      </c>
      <c r="I14" s="9" t="s">
        <v>100</v>
      </c>
      <c r="J14" s="9" t="s">
        <v>100</v>
      </c>
      <c r="K14" s="8" t="s">
        <v>29</v>
      </c>
      <c r="L14" s="8" t="s">
        <v>22</v>
      </c>
    </row>
    <row r="15" ht="60" customHeight="1" spans="1:12">
      <c r="A15" s="8" t="s">
        <v>101</v>
      </c>
      <c r="B15" s="8" t="s">
        <v>94</v>
      </c>
      <c r="C15" s="8" t="s">
        <v>95</v>
      </c>
      <c r="D15" s="8" t="s">
        <v>31</v>
      </c>
      <c r="E15" s="8" t="s">
        <v>102</v>
      </c>
      <c r="F15" s="8" t="s">
        <v>97</v>
      </c>
      <c r="G15" s="8" t="s">
        <v>103</v>
      </c>
      <c r="H15" s="8" t="s">
        <v>57</v>
      </c>
      <c r="I15" s="9" t="s">
        <v>104</v>
      </c>
      <c r="J15" s="9" t="s">
        <v>104</v>
      </c>
      <c r="K15" s="8" t="s">
        <v>29</v>
      </c>
      <c r="L15" s="8" t="s">
        <v>22</v>
      </c>
    </row>
    <row r="16" ht="60" customHeight="1" spans="1:12">
      <c r="A16" s="8" t="s">
        <v>105</v>
      </c>
      <c r="B16" s="8" t="s">
        <v>94</v>
      </c>
      <c r="C16" s="8" t="s">
        <v>106</v>
      </c>
      <c r="D16" s="8" t="s">
        <v>31</v>
      </c>
      <c r="E16" s="8" t="s">
        <v>107</v>
      </c>
      <c r="F16" s="8" t="s">
        <v>108</v>
      </c>
      <c r="G16" s="8" t="s">
        <v>109</v>
      </c>
      <c r="H16" s="8" t="s">
        <v>110</v>
      </c>
      <c r="I16" s="9" t="s">
        <v>111</v>
      </c>
      <c r="J16" s="9" t="s">
        <v>111</v>
      </c>
      <c r="K16" s="8" t="s">
        <v>29</v>
      </c>
      <c r="L16" s="8" t="s">
        <v>22</v>
      </c>
    </row>
    <row r="17" ht="60" customHeight="1" spans="1:12">
      <c r="A17" s="8" t="s">
        <v>112</v>
      </c>
      <c r="B17" s="8" t="s">
        <v>94</v>
      </c>
      <c r="C17" s="8" t="s">
        <v>113</v>
      </c>
      <c r="D17" s="8" t="s">
        <v>67</v>
      </c>
      <c r="E17" s="8" t="s">
        <v>114</v>
      </c>
      <c r="F17" s="8" t="s">
        <v>115</v>
      </c>
      <c r="G17" s="8" t="s">
        <v>116</v>
      </c>
      <c r="H17" s="8" t="s">
        <v>117</v>
      </c>
      <c r="I17" s="9" t="s">
        <v>118</v>
      </c>
      <c r="J17" s="9" t="s">
        <v>118</v>
      </c>
      <c r="K17" s="8" t="s">
        <v>29</v>
      </c>
      <c r="L17" s="8" t="s">
        <v>22</v>
      </c>
    </row>
    <row r="18" ht="60" customHeight="1" spans="1:12">
      <c r="A18" s="8" t="s">
        <v>119</v>
      </c>
      <c r="B18" s="8" t="s">
        <v>94</v>
      </c>
      <c r="C18" s="8" t="s">
        <v>120</v>
      </c>
      <c r="D18" s="8" t="s">
        <v>15</v>
      </c>
      <c r="E18" s="8" t="s">
        <v>121</v>
      </c>
      <c r="F18" s="8" t="s">
        <v>122</v>
      </c>
      <c r="G18" s="8" t="s">
        <v>123</v>
      </c>
      <c r="H18" s="8" t="s">
        <v>124</v>
      </c>
      <c r="I18" s="9" t="s">
        <v>125</v>
      </c>
      <c r="J18" s="9" t="s">
        <v>125</v>
      </c>
      <c r="K18" s="8" t="s">
        <v>29</v>
      </c>
      <c r="L18" s="8" t="s">
        <v>22</v>
      </c>
    </row>
    <row r="19" ht="60" customHeight="1" spans="1:12">
      <c r="A19" s="8" t="s">
        <v>126</v>
      </c>
      <c r="B19" s="8" t="s">
        <v>94</v>
      </c>
      <c r="C19" s="8" t="s">
        <v>127</v>
      </c>
      <c r="D19" s="8" t="s">
        <v>15</v>
      </c>
      <c r="E19" s="8" t="s">
        <v>128</v>
      </c>
      <c r="F19" s="8" t="s">
        <v>122</v>
      </c>
      <c r="G19" s="8" t="s">
        <v>129</v>
      </c>
      <c r="H19" s="8" t="s">
        <v>130</v>
      </c>
      <c r="I19" s="9" t="s">
        <v>131</v>
      </c>
      <c r="J19" s="9" t="s">
        <v>131</v>
      </c>
      <c r="K19" s="8" t="s">
        <v>29</v>
      </c>
      <c r="L19" s="8" t="s">
        <v>22</v>
      </c>
    </row>
    <row r="20" ht="60" customHeight="1" spans="1:12">
      <c r="A20" s="8" t="s">
        <v>132</v>
      </c>
      <c r="B20" s="8" t="s">
        <v>94</v>
      </c>
      <c r="C20" s="8" t="s">
        <v>127</v>
      </c>
      <c r="D20" s="8" t="s">
        <v>31</v>
      </c>
      <c r="E20" s="8" t="s">
        <v>133</v>
      </c>
      <c r="F20" s="8" t="s">
        <v>134</v>
      </c>
      <c r="G20" s="8" t="s">
        <v>135</v>
      </c>
      <c r="H20" s="8" t="s">
        <v>136</v>
      </c>
      <c r="I20" s="9" t="s">
        <v>137</v>
      </c>
      <c r="J20" s="9" t="s">
        <v>137</v>
      </c>
      <c r="K20" s="8" t="s">
        <v>29</v>
      </c>
      <c r="L20" s="8" t="s">
        <v>22</v>
      </c>
    </row>
    <row r="21" ht="60" customHeight="1" spans="1:12">
      <c r="A21" s="8" t="s">
        <v>138</v>
      </c>
      <c r="B21" s="8" t="s">
        <v>94</v>
      </c>
      <c r="C21" s="8" t="s">
        <v>139</v>
      </c>
      <c r="D21" s="8" t="s">
        <v>31</v>
      </c>
      <c r="E21" s="8" t="s">
        <v>140</v>
      </c>
      <c r="F21" s="8" t="s">
        <v>134</v>
      </c>
      <c r="G21" s="8" t="s">
        <v>141</v>
      </c>
      <c r="H21" s="8" t="s">
        <v>142</v>
      </c>
      <c r="I21" s="9" t="s">
        <v>143</v>
      </c>
      <c r="J21" s="9" t="s">
        <v>143</v>
      </c>
      <c r="K21" s="8" t="s">
        <v>29</v>
      </c>
      <c r="L21" s="8" t="s">
        <v>22</v>
      </c>
    </row>
    <row r="22" ht="60" customHeight="1" spans="1:12">
      <c r="A22" s="8" t="s">
        <v>144</v>
      </c>
      <c r="B22" s="8" t="s">
        <v>94</v>
      </c>
      <c r="C22" s="8" t="s">
        <v>145</v>
      </c>
      <c r="D22" s="8" t="s">
        <v>67</v>
      </c>
      <c r="E22" s="8" t="s">
        <v>146</v>
      </c>
      <c r="F22" s="8" t="s">
        <v>134</v>
      </c>
      <c r="G22" s="8" t="s">
        <v>147</v>
      </c>
      <c r="H22" s="8" t="s">
        <v>148</v>
      </c>
      <c r="I22" s="9" t="s">
        <v>149</v>
      </c>
      <c r="J22" s="9" t="s">
        <v>149</v>
      </c>
      <c r="K22" s="8" t="s">
        <v>29</v>
      </c>
      <c r="L22" s="8" t="s">
        <v>22</v>
      </c>
    </row>
    <row r="23" ht="60" customHeight="1" spans="1:12">
      <c r="A23" s="8" t="s">
        <v>150</v>
      </c>
      <c r="B23" s="8" t="s">
        <v>94</v>
      </c>
      <c r="C23" s="8" t="s">
        <v>151</v>
      </c>
      <c r="D23" s="8" t="s">
        <v>15</v>
      </c>
      <c r="E23" s="8" t="s">
        <v>152</v>
      </c>
      <c r="F23" s="8" t="s">
        <v>134</v>
      </c>
      <c r="G23" s="8" t="s">
        <v>153</v>
      </c>
      <c r="H23" s="8" t="s">
        <v>154</v>
      </c>
      <c r="I23" s="9" t="s">
        <v>155</v>
      </c>
      <c r="J23" s="9" t="s">
        <v>155</v>
      </c>
      <c r="K23" s="8" t="s">
        <v>29</v>
      </c>
      <c r="L23" s="8" t="s">
        <v>22</v>
      </c>
    </row>
    <row r="24" ht="60" customHeight="1" spans="1:12">
      <c r="A24" s="8" t="s">
        <v>156</v>
      </c>
      <c r="B24" s="8" t="s">
        <v>94</v>
      </c>
      <c r="C24" s="8" t="s">
        <v>151</v>
      </c>
      <c r="D24" s="8" t="s">
        <v>31</v>
      </c>
      <c r="E24" s="8" t="s">
        <v>157</v>
      </c>
      <c r="F24" s="8" t="s">
        <v>158</v>
      </c>
      <c r="G24" s="8" t="s">
        <v>159</v>
      </c>
      <c r="H24" s="8" t="s">
        <v>160</v>
      </c>
      <c r="I24" s="8" t="s">
        <v>161</v>
      </c>
      <c r="J24" s="8" t="s">
        <v>22</v>
      </c>
      <c r="K24" s="8" t="s">
        <v>29</v>
      </c>
      <c r="L24" s="8" t="s">
        <v>22</v>
      </c>
    </row>
    <row r="25" ht="60" customHeight="1" spans="1:12">
      <c r="A25" s="8" t="s">
        <v>162</v>
      </c>
      <c r="B25" s="8" t="s">
        <v>94</v>
      </c>
      <c r="C25" s="8" t="s">
        <v>151</v>
      </c>
      <c r="D25" s="8" t="s">
        <v>67</v>
      </c>
      <c r="E25" s="8" t="s">
        <v>163</v>
      </c>
      <c r="F25" s="8" t="s">
        <v>134</v>
      </c>
      <c r="G25" s="8" t="s">
        <v>164</v>
      </c>
      <c r="H25" s="8" t="s">
        <v>165</v>
      </c>
      <c r="I25" s="8" t="s">
        <v>166</v>
      </c>
      <c r="J25" s="8" t="s">
        <v>22</v>
      </c>
      <c r="K25" s="8" t="s">
        <v>29</v>
      </c>
      <c r="L25" s="8" t="s">
        <v>22</v>
      </c>
    </row>
    <row r="26" ht="60" customHeight="1" spans="1:12">
      <c r="A26" s="8" t="s">
        <v>167</v>
      </c>
      <c r="B26" s="8" t="s">
        <v>94</v>
      </c>
      <c r="C26" s="8" t="s">
        <v>168</v>
      </c>
      <c r="D26" s="8" t="s">
        <v>15</v>
      </c>
      <c r="E26" s="8" t="s">
        <v>169</v>
      </c>
      <c r="F26" s="8" t="s">
        <v>170</v>
      </c>
      <c r="G26" s="8" t="s">
        <v>171</v>
      </c>
      <c r="H26" s="8" t="s">
        <v>172</v>
      </c>
      <c r="I26" s="9" t="s">
        <v>173</v>
      </c>
      <c r="J26" s="9" t="s">
        <v>174</v>
      </c>
      <c r="K26" s="8" t="s">
        <v>29</v>
      </c>
      <c r="L26" s="8" t="s">
        <v>175</v>
      </c>
    </row>
    <row r="27" ht="60" customHeight="1" spans="1:12">
      <c r="A27" s="8" t="s">
        <v>176</v>
      </c>
      <c r="B27" s="8" t="s">
        <v>94</v>
      </c>
      <c r="C27" s="8" t="s">
        <v>168</v>
      </c>
      <c r="D27" s="8" t="s">
        <v>31</v>
      </c>
      <c r="E27" s="8" t="s">
        <v>177</v>
      </c>
      <c r="F27" s="8" t="s">
        <v>178</v>
      </c>
      <c r="G27" s="8" t="s">
        <v>179</v>
      </c>
      <c r="H27" s="8" t="s">
        <v>180</v>
      </c>
      <c r="I27" s="9" t="s">
        <v>181</v>
      </c>
      <c r="J27" s="9" t="s">
        <v>181</v>
      </c>
      <c r="K27" s="8" t="s">
        <v>29</v>
      </c>
      <c r="L27" s="8" t="s">
        <v>22</v>
      </c>
    </row>
    <row r="28" ht="60" customHeight="1" spans="1:12">
      <c r="A28" s="8" t="s">
        <v>182</v>
      </c>
      <c r="B28" s="8" t="s">
        <v>94</v>
      </c>
      <c r="C28" s="8" t="s">
        <v>168</v>
      </c>
      <c r="D28" s="8" t="s">
        <v>31</v>
      </c>
      <c r="E28" s="8" t="s">
        <v>183</v>
      </c>
      <c r="F28" s="8" t="s">
        <v>184</v>
      </c>
      <c r="G28" s="8" t="s">
        <v>185</v>
      </c>
      <c r="H28" s="8" t="s">
        <v>186</v>
      </c>
      <c r="I28" s="9" t="s">
        <v>187</v>
      </c>
      <c r="J28" s="9" t="s">
        <v>188</v>
      </c>
      <c r="K28" s="8" t="s">
        <v>29</v>
      </c>
      <c r="L28" s="8"/>
    </row>
    <row r="29" ht="60" customHeight="1" spans="1:12">
      <c r="A29" s="8" t="s">
        <v>189</v>
      </c>
      <c r="B29" s="8" t="s">
        <v>94</v>
      </c>
      <c r="C29" s="8" t="s">
        <v>190</v>
      </c>
      <c r="D29" s="8" t="s">
        <v>15</v>
      </c>
      <c r="E29" s="8" t="s">
        <v>191</v>
      </c>
      <c r="F29" s="8" t="s">
        <v>192</v>
      </c>
      <c r="G29" s="8" t="s">
        <v>193</v>
      </c>
      <c r="H29" s="8" t="s">
        <v>194</v>
      </c>
      <c r="I29" s="8" t="s">
        <v>195</v>
      </c>
      <c r="J29" s="8" t="s">
        <v>195</v>
      </c>
      <c r="K29" s="8" t="s">
        <v>29</v>
      </c>
      <c r="L29" s="8" t="s">
        <v>22</v>
      </c>
    </row>
    <row r="30" ht="60" customHeight="1" spans="1:12">
      <c r="A30" s="8" t="s">
        <v>196</v>
      </c>
      <c r="B30" s="8" t="s">
        <v>94</v>
      </c>
      <c r="C30" s="8" t="s">
        <v>197</v>
      </c>
      <c r="D30" s="8" t="s">
        <v>31</v>
      </c>
      <c r="E30" s="8" t="s">
        <v>198</v>
      </c>
      <c r="F30" s="8" t="s">
        <v>199</v>
      </c>
      <c r="G30" s="8" t="s">
        <v>200</v>
      </c>
      <c r="H30" s="8" t="s">
        <v>201</v>
      </c>
      <c r="I30" s="8" t="s">
        <v>202</v>
      </c>
      <c r="J30" s="8" t="s">
        <v>22</v>
      </c>
      <c r="K30" s="8" t="s">
        <v>29</v>
      </c>
      <c r="L30" s="8" t="s">
        <v>22</v>
      </c>
    </row>
    <row r="31" ht="60" customHeight="1" spans="1:12">
      <c r="A31" s="8" t="s">
        <v>203</v>
      </c>
      <c r="B31" s="8" t="s">
        <v>94</v>
      </c>
      <c r="C31" s="8" t="s">
        <v>204</v>
      </c>
      <c r="D31" s="8" t="s">
        <v>31</v>
      </c>
      <c r="E31" s="8" t="s">
        <v>205</v>
      </c>
      <c r="F31" s="8" t="s">
        <v>206</v>
      </c>
      <c r="G31" s="8" t="s">
        <v>207</v>
      </c>
      <c r="H31" s="8" t="s">
        <v>208</v>
      </c>
      <c r="I31" s="8" t="s">
        <v>209</v>
      </c>
      <c r="J31" s="8" t="s">
        <v>22</v>
      </c>
      <c r="K31" s="8" t="s">
        <v>29</v>
      </c>
      <c r="L31" s="8" t="s">
        <v>22</v>
      </c>
    </row>
    <row r="32" ht="60" customHeight="1" spans="1:12">
      <c r="A32" s="8" t="s">
        <v>210</v>
      </c>
      <c r="B32" s="8" t="s">
        <v>94</v>
      </c>
      <c r="C32" s="8" t="s">
        <v>211</v>
      </c>
      <c r="D32" s="8" t="s">
        <v>31</v>
      </c>
      <c r="E32" s="8" t="s">
        <v>212</v>
      </c>
      <c r="F32" s="8" t="s">
        <v>213</v>
      </c>
      <c r="G32" s="8" t="s">
        <v>214</v>
      </c>
      <c r="H32" s="8" t="s">
        <v>215</v>
      </c>
      <c r="I32" s="8" t="s">
        <v>216</v>
      </c>
      <c r="J32" s="8" t="s">
        <v>22</v>
      </c>
      <c r="K32" s="8" t="s">
        <v>29</v>
      </c>
      <c r="L32" s="8" t="s">
        <v>22</v>
      </c>
    </row>
    <row r="33" ht="60" customHeight="1" spans="1:12">
      <c r="A33" s="8" t="s">
        <v>217</v>
      </c>
      <c r="B33" s="8" t="s">
        <v>94</v>
      </c>
      <c r="C33" s="8" t="s">
        <v>218</v>
      </c>
      <c r="D33" s="8" t="s">
        <v>67</v>
      </c>
      <c r="E33" s="8" t="s">
        <v>219</v>
      </c>
      <c r="F33" s="8" t="s">
        <v>220</v>
      </c>
      <c r="G33" s="8" t="s">
        <v>221</v>
      </c>
      <c r="H33" s="8" t="s">
        <v>57</v>
      </c>
      <c r="I33" s="8" t="s">
        <v>222</v>
      </c>
      <c r="J33" s="8" t="s">
        <v>22</v>
      </c>
      <c r="K33" s="8" t="s">
        <v>29</v>
      </c>
      <c r="L33" s="8" t="s">
        <v>22</v>
      </c>
    </row>
    <row r="34" ht="60" customHeight="1" spans="1:12">
      <c r="A34" s="8" t="s">
        <v>223</v>
      </c>
      <c r="B34" s="8" t="s">
        <v>224</v>
      </c>
      <c r="C34" s="8" t="s">
        <v>225</v>
      </c>
      <c r="D34" s="8" t="s">
        <v>15</v>
      </c>
      <c r="E34" s="8" t="s">
        <v>226</v>
      </c>
      <c r="F34" s="8" t="s">
        <v>227</v>
      </c>
      <c r="G34" s="8" t="s">
        <v>228</v>
      </c>
      <c r="H34" s="8" t="s">
        <v>229</v>
      </c>
      <c r="I34" s="8" t="s">
        <v>230</v>
      </c>
      <c r="J34" s="8" t="s">
        <v>22</v>
      </c>
      <c r="K34" s="8" t="s">
        <v>29</v>
      </c>
      <c r="L34" s="8" t="s">
        <v>22</v>
      </c>
    </row>
    <row r="35" ht="60" customHeight="1" spans="1:12">
      <c r="A35" s="8" t="s">
        <v>231</v>
      </c>
      <c r="B35" s="8" t="s">
        <v>224</v>
      </c>
      <c r="C35" s="8" t="s">
        <v>225</v>
      </c>
      <c r="D35" s="8" t="s">
        <v>31</v>
      </c>
      <c r="E35" s="8" t="s">
        <v>232</v>
      </c>
      <c r="F35" s="8" t="s">
        <v>233</v>
      </c>
      <c r="G35" s="8" t="s">
        <v>234</v>
      </c>
      <c r="H35" s="8" t="s">
        <v>235</v>
      </c>
      <c r="I35" s="8" t="s">
        <v>236</v>
      </c>
      <c r="J35" s="8" t="s">
        <v>22</v>
      </c>
      <c r="K35" s="8" t="s">
        <v>29</v>
      </c>
      <c r="L35" s="8" t="s">
        <v>22</v>
      </c>
    </row>
    <row r="36" ht="60" customHeight="1" spans="1:12">
      <c r="A36" s="8" t="s">
        <v>237</v>
      </c>
      <c r="B36" s="8" t="s">
        <v>224</v>
      </c>
      <c r="C36" s="8" t="s">
        <v>225</v>
      </c>
      <c r="D36" s="8" t="s">
        <v>31</v>
      </c>
      <c r="E36" s="8" t="s">
        <v>238</v>
      </c>
      <c r="F36" s="8" t="s">
        <v>239</v>
      </c>
      <c r="G36" s="8" t="s">
        <v>240</v>
      </c>
      <c r="H36" s="8" t="s">
        <v>241</v>
      </c>
      <c r="I36" s="8" t="s">
        <v>242</v>
      </c>
      <c r="J36" s="8" t="s">
        <v>22</v>
      </c>
      <c r="K36" s="8" t="s">
        <v>29</v>
      </c>
      <c r="L36" s="8" t="s">
        <v>22</v>
      </c>
    </row>
    <row r="37" ht="60" customHeight="1" spans="1:12">
      <c r="A37" s="8" t="s">
        <v>243</v>
      </c>
      <c r="B37" s="8" t="s">
        <v>224</v>
      </c>
      <c r="C37" s="8" t="s">
        <v>225</v>
      </c>
      <c r="D37" s="8" t="s">
        <v>31</v>
      </c>
      <c r="E37" s="8" t="s">
        <v>244</v>
      </c>
      <c r="F37" s="8" t="s">
        <v>245</v>
      </c>
      <c r="G37" s="8" t="s">
        <v>246</v>
      </c>
      <c r="H37" s="8" t="s">
        <v>247</v>
      </c>
      <c r="I37" s="8" t="s">
        <v>248</v>
      </c>
      <c r="J37" s="8" t="s">
        <v>22</v>
      </c>
      <c r="K37" s="8" t="s">
        <v>29</v>
      </c>
      <c r="L37" s="8" t="s">
        <v>22</v>
      </c>
    </row>
    <row r="38" ht="60" customHeight="1" spans="1:12">
      <c r="A38" s="8" t="s">
        <v>249</v>
      </c>
      <c r="B38" s="8" t="s">
        <v>224</v>
      </c>
      <c r="C38" s="8" t="s">
        <v>225</v>
      </c>
      <c r="D38" s="8" t="s">
        <v>31</v>
      </c>
      <c r="E38" s="8" t="s">
        <v>250</v>
      </c>
      <c r="F38" s="8" t="s">
        <v>233</v>
      </c>
      <c r="G38" s="8" t="s">
        <v>251</v>
      </c>
      <c r="H38" s="8" t="s">
        <v>252</v>
      </c>
      <c r="I38" s="8" t="s">
        <v>253</v>
      </c>
      <c r="J38" s="8" t="s">
        <v>22</v>
      </c>
      <c r="K38" s="8" t="s">
        <v>29</v>
      </c>
      <c r="L38" s="8" t="s">
        <v>22</v>
      </c>
    </row>
    <row r="39" ht="60" customHeight="1" spans="1:12">
      <c r="A39" s="8" t="s">
        <v>254</v>
      </c>
      <c r="B39" s="8" t="s">
        <v>224</v>
      </c>
      <c r="C39" s="8" t="s">
        <v>225</v>
      </c>
      <c r="D39" s="8" t="s">
        <v>67</v>
      </c>
      <c r="E39" s="8" t="s">
        <v>255</v>
      </c>
      <c r="F39" s="8" t="s">
        <v>233</v>
      </c>
      <c r="G39" s="8" t="s">
        <v>256</v>
      </c>
      <c r="H39" s="8" t="s">
        <v>257</v>
      </c>
      <c r="I39" s="8" t="s">
        <v>258</v>
      </c>
      <c r="J39" s="8" t="s">
        <v>22</v>
      </c>
      <c r="K39" s="8" t="s">
        <v>29</v>
      </c>
      <c r="L39" s="8" t="s">
        <v>22</v>
      </c>
    </row>
    <row r="40" ht="60" customHeight="1" spans="1:12">
      <c r="A40" s="8" t="s">
        <v>259</v>
      </c>
      <c r="B40" s="8" t="s">
        <v>224</v>
      </c>
      <c r="C40" s="8" t="s">
        <v>225</v>
      </c>
      <c r="D40" s="8" t="s">
        <v>67</v>
      </c>
      <c r="E40" s="8" t="s">
        <v>260</v>
      </c>
      <c r="F40" s="8" t="s">
        <v>233</v>
      </c>
      <c r="G40" s="8" t="s">
        <v>261</v>
      </c>
      <c r="H40" s="8" t="s">
        <v>262</v>
      </c>
      <c r="I40" s="8" t="s">
        <v>263</v>
      </c>
      <c r="J40" s="8" t="s">
        <v>22</v>
      </c>
      <c r="K40" s="8" t="s">
        <v>29</v>
      </c>
      <c r="L40" s="8" t="s">
        <v>22</v>
      </c>
    </row>
    <row r="41" ht="60" customHeight="1" spans="1:12">
      <c r="A41" s="8" t="s">
        <v>264</v>
      </c>
      <c r="B41" s="8" t="s">
        <v>224</v>
      </c>
      <c r="C41" s="8" t="s">
        <v>265</v>
      </c>
      <c r="D41" s="8" t="s">
        <v>15</v>
      </c>
      <c r="E41" s="8" t="s">
        <v>266</v>
      </c>
      <c r="F41" s="8" t="s">
        <v>267</v>
      </c>
      <c r="G41" s="8" t="s">
        <v>268</v>
      </c>
      <c r="H41" s="8" t="s">
        <v>269</v>
      </c>
      <c r="I41" s="8" t="s">
        <v>270</v>
      </c>
      <c r="J41" s="8" t="s">
        <v>22</v>
      </c>
      <c r="K41" s="8" t="s">
        <v>29</v>
      </c>
      <c r="L41" s="8" t="s">
        <v>22</v>
      </c>
    </row>
    <row r="42" ht="60" customHeight="1" spans="1:12">
      <c r="A42" s="8" t="s">
        <v>271</v>
      </c>
      <c r="B42" s="8" t="s">
        <v>224</v>
      </c>
      <c r="C42" s="8" t="s">
        <v>265</v>
      </c>
      <c r="D42" s="8" t="s">
        <v>31</v>
      </c>
      <c r="E42" s="8" t="s">
        <v>272</v>
      </c>
      <c r="F42" s="8" t="s">
        <v>273</v>
      </c>
      <c r="G42" s="8" t="s">
        <v>274</v>
      </c>
      <c r="H42" s="8" t="s">
        <v>275</v>
      </c>
      <c r="I42" s="8" t="s">
        <v>276</v>
      </c>
      <c r="J42" s="8" t="s">
        <v>22</v>
      </c>
      <c r="K42" s="8" t="s">
        <v>29</v>
      </c>
      <c r="L42" s="8" t="s">
        <v>22</v>
      </c>
    </row>
    <row r="43" ht="60" customHeight="1" spans="1:12">
      <c r="A43" s="8" t="s">
        <v>277</v>
      </c>
      <c r="B43" s="8" t="s">
        <v>224</v>
      </c>
      <c r="C43" s="8" t="s">
        <v>265</v>
      </c>
      <c r="D43" s="8" t="s">
        <v>31</v>
      </c>
      <c r="E43" s="8" t="s">
        <v>278</v>
      </c>
      <c r="F43" s="8" t="s">
        <v>273</v>
      </c>
      <c r="G43" s="8" t="s">
        <v>279</v>
      </c>
      <c r="H43" s="8" t="s">
        <v>280</v>
      </c>
      <c r="I43" s="8" t="s">
        <v>281</v>
      </c>
      <c r="J43" s="8" t="s">
        <v>22</v>
      </c>
      <c r="K43" s="8" t="s">
        <v>29</v>
      </c>
      <c r="L43" s="8" t="s">
        <v>22</v>
      </c>
    </row>
    <row r="44" ht="60" customHeight="1" spans="1:12">
      <c r="A44" s="8" t="s">
        <v>282</v>
      </c>
      <c r="B44" s="8" t="s">
        <v>224</v>
      </c>
      <c r="C44" s="8" t="s">
        <v>265</v>
      </c>
      <c r="D44" s="8" t="s">
        <v>67</v>
      </c>
      <c r="E44" s="8" t="s">
        <v>283</v>
      </c>
      <c r="F44" s="8" t="s">
        <v>284</v>
      </c>
      <c r="G44" s="8" t="s">
        <v>285</v>
      </c>
      <c r="H44" s="8" t="s">
        <v>286</v>
      </c>
      <c r="I44" s="8" t="s">
        <v>287</v>
      </c>
      <c r="J44" s="8" t="s">
        <v>22</v>
      </c>
      <c r="K44" s="8" t="s">
        <v>29</v>
      </c>
      <c r="L44" s="8" t="s">
        <v>22</v>
      </c>
    </row>
    <row r="45" ht="60" customHeight="1" spans="1:12">
      <c r="A45" s="8" t="s">
        <v>288</v>
      </c>
      <c r="B45" s="8" t="s">
        <v>289</v>
      </c>
      <c r="C45" s="8" t="s">
        <v>290</v>
      </c>
      <c r="D45" s="8" t="s">
        <v>15</v>
      </c>
      <c r="E45" s="8" t="s">
        <v>291</v>
      </c>
      <c r="F45" s="8" t="s">
        <v>292</v>
      </c>
      <c r="G45" s="8" t="s">
        <v>293</v>
      </c>
      <c r="H45" s="8" t="s">
        <v>294</v>
      </c>
      <c r="I45" s="8" t="s">
        <v>295</v>
      </c>
      <c r="J45" s="8" t="s">
        <v>22</v>
      </c>
      <c r="K45" s="8" t="s">
        <v>29</v>
      </c>
      <c r="L45" s="8" t="s">
        <v>22</v>
      </c>
    </row>
    <row r="46" ht="60" customHeight="1" spans="1:12">
      <c r="A46" s="8" t="s">
        <v>296</v>
      </c>
      <c r="B46" s="8" t="s">
        <v>289</v>
      </c>
      <c r="C46" s="8" t="s">
        <v>297</v>
      </c>
      <c r="D46" s="8" t="s">
        <v>15</v>
      </c>
      <c r="E46" s="8" t="s">
        <v>298</v>
      </c>
      <c r="F46" s="8" t="s">
        <v>299</v>
      </c>
      <c r="G46" s="8" t="s">
        <v>300</v>
      </c>
      <c r="H46" s="8" t="s">
        <v>301</v>
      </c>
      <c r="I46" s="8" t="s">
        <v>302</v>
      </c>
      <c r="J46" s="8" t="s">
        <v>22</v>
      </c>
      <c r="K46" s="8" t="s">
        <v>29</v>
      </c>
      <c r="L46" s="8" t="s">
        <v>22</v>
      </c>
    </row>
    <row r="47" ht="60" customHeight="1" spans="1:12">
      <c r="A47" s="8" t="s">
        <v>303</v>
      </c>
      <c r="B47" s="8" t="s">
        <v>289</v>
      </c>
      <c r="C47" s="8" t="s">
        <v>304</v>
      </c>
      <c r="D47" s="8" t="s">
        <v>15</v>
      </c>
      <c r="E47" s="8" t="s">
        <v>305</v>
      </c>
      <c r="F47" s="8" t="s">
        <v>306</v>
      </c>
      <c r="G47" s="8" t="s">
        <v>307</v>
      </c>
      <c r="H47" s="8" t="s">
        <v>308</v>
      </c>
      <c r="I47" s="8" t="s">
        <v>309</v>
      </c>
      <c r="J47" s="8" t="s">
        <v>22</v>
      </c>
      <c r="K47" s="8" t="s">
        <v>29</v>
      </c>
      <c r="L47" s="8" t="s">
        <v>22</v>
      </c>
    </row>
    <row r="48" ht="60" customHeight="1" spans="1:12">
      <c r="A48" s="8" t="s">
        <v>310</v>
      </c>
      <c r="B48" s="8" t="s">
        <v>289</v>
      </c>
      <c r="C48" s="8" t="s">
        <v>311</v>
      </c>
      <c r="D48" s="8" t="s">
        <v>31</v>
      </c>
      <c r="E48" s="8" t="s">
        <v>312</v>
      </c>
      <c r="F48" s="8" t="s">
        <v>313</v>
      </c>
      <c r="G48" s="8" t="s">
        <v>314</v>
      </c>
      <c r="H48" s="8" t="s">
        <v>315</v>
      </c>
      <c r="I48" s="8" t="s">
        <v>316</v>
      </c>
      <c r="J48" s="8" t="s">
        <v>22</v>
      </c>
      <c r="K48" s="8" t="s">
        <v>29</v>
      </c>
      <c r="L48" s="8" t="s">
        <v>22</v>
      </c>
    </row>
    <row r="49" ht="60" customHeight="1" spans="1:12">
      <c r="A49" s="8" t="s">
        <v>317</v>
      </c>
      <c r="B49" s="8" t="s">
        <v>289</v>
      </c>
      <c r="C49" s="8" t="s">
        <v>311</v>
      </c>
      <c r="D49" s="8" t="s">
        <v>31</v>
      </c>
      <c r="E49" s="8" t="s">
        <v>318</v>
      </c>
      <c r="F49" s="8" t="s">
        <v>319</v>
      </c>
      <c r="G49" s="8" t="s">
        <v>320</v>
      </c>
      <c r="H49" s="8" t="s">
        <v>321</v>
      </c>
      <c r="I49" s="8" t="s">
        <v>322</v>
      </c>
      <c r="J49" s="8" t="s">
        <v>22</v>
      </c>
      <c r="K49" s="8" t="s">
        <v>29</v>
      </c>
      <c r="L49" s="8" t="s">
        <v>22</v>
      </c>
    </row>
    <row r="50" ht="60" customHeight="1" spans="1:12">
      <c r="A50" s="8" t="s">
        <v>323</v>
      </c>
      <c r="B50" s="8" t="s">
        <v>289</v>
      </c>
      <c r="C50" s="8" t="s">
        <v>324</v>
      </c>
      <c r="D50" s="8" t="s">
        <v>31</v>
      </c>
      <c r="E50" s="8" t="s">
        <v>325</v>
      </c>
      <c r="F50" s="8" t="s">
        <v>326</v>
      </c>
      <c r="G50" s="8" t="s">
        <v>327</v>
      </c>
      <c r="H50" s="8" t="s">
        <v>247</v>
      </c>
      <c r="I50" s="8" t="s">
        <v>328</v>
      </c>
      <c r="J50" s="8" t="s">
        <v>22</v>
      </c>
      <c r="K50" s="8" t="s">
        <v>29</v>
      </c>
      <c r="L50" s="8" t="s">
        <v>22</v>
      </c>
    </row>
    <row r="51" ht="60" customHeight="1" spans="1:12">
      <c r="A51" s="8" t="s">
        <v>329</v>
      </c>
      <c r="B51" s="8" t="s">
        <v>289</v>
      </c>
      <c r="C51" s="8" t="s">
        <v>330</v>
      </c>
      <c r="D51" s="8" t="s">
        <v>67</v>
      </c>
      <c r="E51" s="8" t="s">
        <v>331</v>
      </c>
      <c r="F51" s="8" t="s">
        <v>332</v>
      </c>
      <c r="G51" s="8" t="s">
        <v>333</v>
      </c>
      <c r="H51" s="8" t="s">
        <v>334</v>
      </c>
      <c r="I51" s="8" t="s">
        <v>335</v>
      </c>
      <c r="J51" s="8" t="s">
        <v>22</v>
      </c>
      <c r="K51" s="8" t="s">
        <v>29</v>
      </c>
      <c r="L51" s="8" t="s">
        <v>22</v>
      </c>
    </row>
    <row r="52" ht="60" customHeight="1" spans="1:12">
      <c r="A52" s="8" t="s">
        <v>336</v>
      </c>
      <c r="B52" s="8" t="s">
        <v>289</v>
      </c>
      <c r="C52" s="8" t="s">
        <v>337</v>
      </c>
      <c r="D52" s="8" t="s">
        <v>15</v>
      </c>
      <c r="E52" s="8" t="s">
        <v>338</v>
      </c>
      <c r="F52" s="8" t="s">
        <v>339</v>
      </c>
      <c r="G52" s="8" t="s">
        <v>340</v>
      </c>
      <c r="H52" s="8" t="s">
        <v>57</v>
      </c>
      <c r="I52" s="8" t="s">
        <v>341</v>
      </c>
      <c r="J52" s="8" t="s">
        <v>22</v>
      </c>
      <c r="K52" s="8" t="s">
        <v>29</v>
      </c>
      <c r="L52" s="8" t="s">
        <v>22</v>
      </c>
    </row>
    <row r="53" ht="60" customHeight="1" spans="1:12">
      <c r="A53" s="8" t="s">
        <v>342</v>
      </c>
      <c r="B53" s="8" t="s">
        <v>289</v>
      </c>
      <c r="C53" s="8" t="s">
        <v>337</v>
      </c>
      <c r="D53" s="8" t="s">
        <v>15</v>
      </c>
      <c r="E53" s="8" t="s">
        <v>343</v>
      </c>
      <c r="F53" s="8" t="s">
        <v>344</v>
      </c>
      <c r="G53" s="8" t="s">
        <v>345</v>
      </c>
      <c r="H53" s="8" t="s">
        <v>346</v>
      </c>
      <c r="I53" s="8" t="s">
        <v>347</v>
      </c>
      <c r="J53" s="8" t="s">
        <v>22</v>
      </c>
      <c r="K53" s="8" t="s">
        <v>29</v>
      </c>
      <c r="L53" s="8" t="s">
        <v>22</v>
      </c>
    </row>
    <row r="54" ht="60" customHeight="1" spans="1:12">
      <c r="A54" s="8" t="s">
        <v>348</v>
      </c>
      <c r="B54" s="8" t="s">
        <v>289</v>
      </c>
      <c r="C54" s="8" t="s">
        <v>337</v>
      </c>
      <c r="D54" s="8" t="s">
        <v>31</v>
      </c>
      <c r="E54" s="8" t="s">
        <v>349</v>
      </c>
      <c r="F54" s="8" t="s">
        <v>350</v>
      </c>
      <c r="G54" s="8" t="s">
        <v>351</v>
      </c>
      <c r="H54" s="8" t="s">
        <v>352</v>
      </c>
      <c r="I54" s="8" t="s">
        <v>353</v>
      </c>
      <c r="J54" s="8" t="s">
        <v>22</v>
      </c>
      <c r="K54" s="8" t="s">
        <v>29</v>
      </c>
      <c r="L54" s="8" t="s">
        <v>22</v>
      </c>
    </row>
    <row r="55" ht="60" customHeight="1" spans="1:12">
      <c r="A55" s="8" t="s">
        <v>354</v>
      </c>
      <c r="B55" s="8" t="s">
        <v>289</v>
      </c>
      <c r="C55" s="8" t="s">
        <v>337</v>
      </c>
      <c r="D55" s="8" t="s">
        <v>31</v>
      </c>
      <c r="E55" s="8" t="s">
        <v>355</v>
      </c>
      <c r="F55" s="8" t="s">
        <v>356</v>
      </c>
      <c r="G55" s="8" t="s">
        <v>357</v>
      </c>
      <c r="H55" s="8" t="s">
        <v>358</v>
      </c>
      <c r="I55" s="8" t="s">
        <v>359</v>
      </c>
      <c r="J55" s="8" t="s">
        <v>22</v>
      </c>
      <c r="K55" s="8" t="s">
        <v>29</v>
      </c>
      <c r="L55" s="8" t="s">
        <v>22</v>
      </c>
    </row>
    <row r="56" ht="60" customHeight="1" spans="1:12">
      <c r="A56" s="8" t="s">
        <v>360</v>
      </c>
      <c r="B56" s="8" t="s">
        <v>289</v>
      </c>
      <c r="C56" s="8" t="s">
        <v>337</v>
      </c>
      <c r="D56" s="8" t="s">
        <v>67</v>
      </c>
      <c r="E56" s="8" t="s">
        <v>361</v>
      </c>
      <c r="F56" s="8" t="s">
        <v>362</v>
      </c>
      <c r="G56" s="8" t="s">
        <v>363</v>
      </c>
      <c r="H56" s="8" t="s">
        <v>57</v>
      </c>
      <c r="I56" s="8" t="s">
        <v>364</v>
      </c>
      <c r="J56" s="8" t="s">
        <v>22</v>
      </c>
      <c r="K56" s="8" t="s">
        <v>29</v>
      </c>
      <c r="L56" s="8" t="s">
        <v>22</v>
      </c>
    </row>
    <row r="57" ht="60" customHeight="1" spans="1:12">
      <c r="A57" s="8" t="s">
        <v>365</v>
      </c>
      <c r="B57" s="8" t="s">
        <v>289</v>
      </c>
      <c r="C57" s="8" t="s">
        <v>366</v>
      </c>
      <c r="D57" s="8" t="s">
        <v>15</v>
      </c>
      <c r="E57" s="8" t="s">
        <v>367</v>
      </c>
      <c r="F57" s="8" t="s">
        <v>368</v>
      </c>
      <c r="G57" s="8" t="s">
        <v>369</v>
      </c>
      <c r="H57" s="8" t="s">
        <v>370</v>
      </c>
      <c r="I57" s="8" t="s">
        <v>371</v>
      </c>
      <c r="J57" s="8" t="s">
        <v>22</v>
      </c>
      <c r="K57" s="8" t="s">
        <v>29</v>
      </c>
      <c r="L57" s="8" t="s">
        <v>22</v>
      </c>
    </row>
    <row r="58" ht="60" customHeight="1" spans="1:12">
      <c r="A58" s="8" t="s">
        <v>372</v>
      </c>
      <c r="B58" s="8" t="s">
        <v>289</v>
      </c>
      <c r="C58" s="8" t="s">
        <v>366</v>
      </c>
      <c r="D58" s="8" t="s">
        <v>31</v>
      </c>
      <c r="E58" s="8" t="s">
        <v>373</v>
      </c>
      <c r="F58" s="8" t="s">
        <v>374</v>
      </c>
      <c r="G58" s="8" t="s">
        <v>375</v>
      </c>
      <c r="H58" s="8" t="s">
        <v>376</v>
      </c>
      <c r="I58" s="8" t="s">
        <v>377</v>
      </c>
      <c r="J58" s="8" t="s">
        <v>22</v>
      </c>
      <c r="K58" s="8" t="s">
        <v>29</v>
      </c>
      <c r="L58" s="8" t="s">
        <v>22</v>
      </c>
    </row>
    <row r="59" ht="60" customHeight="1" spans="1:12">
      <c r="A59" s="8" t="s">
        <v>378</v>
      </c>
      <c r="B59" s="8" t="s">
        <v>289</v>
      </c>
      <c r="C59" s="8" t="s">
        <v>366</v>
      </c>
      <c r="D59" s="8" t="s">
        <v>31</v>
      </c>
      <c r="E59" s="8" t="s">
        <v>379</v>
      </c>
      <c r="F59" s="8" t="s">
        <v>380</v>
      </c>
      <c r="G59" s="8" t="s">
        <v>381</v>
      </c>
      <c r="H59" s="8" t="s">
        <v>382</v>
      </c>
      <c r="I59" s="8" t="s">
        <v>383</v>
      </c>
      <c r="J59" s="8" t="s">
        <v>22</v>
      </c>
      <c r="K59" s="8" t="s">
        <v>29</v>
      </c>
      <c r="L59" s="8" t="s">
        <v>22</v>
      </c>
    </row>
    <row r="60" ht="60" customHeight="1" spans="1:12">
      <c r="A60" s="8" t="s">
        <v>384</v>
      </c>
      <c r="B60" s="8" t="s">
        <v>289</v>
      </c>
      <c r="C60" s="8" t="s">
        <v>366</v>
      </c>
      <c r="D60" s="8" t="s">
        <v>31</v>
      </c>
      <c r="E60" s="8" t="s">
        <v>385</v>
      </c>
      <c r="F60" s="8" t="s">
        <v>380</v>
      </c>
      <c r="G60" s="8" t="s">
        <v>386</v>
      </c>
      <c r="H60" s="8" t="s">
        <v>387</v>
      </c>
      <c r="I60" s="8" t="s">
        <v>388</v>
      </c>
      <c r="J60" s="8" t="s">
        <v>22</v>
      </c>
      <c r="K60" s="8" t="s">
        <v>29</v>
      </c>
      <c r="L60" s="8" t="s">
        <v>22</v>
      </c>
    </row>
    <row r="61" ht="60" customHeight="1" spans="1:12">
      <c r="A61" s="8" t="s">
        <v>389</v>
      </c>
      <c r="B61" s="8" t="s">
        <v>289</v>
      </c>
      <c r="C61" s="8" t="s">
        <v>366</v>
      </c>
      <c r="D61" s="8" t="s">
        <v>67</v>
      </c>
      <c r="E61" s="8" t="s">
        <v>390</v>
      </c>
      <c r="F61" s="8" t="s">
        <v>391</v>
      </c>
      <c r="G61" s="8" t="s">
        <v>392</v>
      </c>
      <c r="H61" s="8" t="s">
        <v>393</v>
      </c>
      <c r="I61" s="8" t="s">
        <v>394</v>
      </c>
      <c r="J61" s="8" t="s">
        <v>22</v>
      </c>
      <c r="K61" s="8" t="s">
        <v>29</v>
      </c>
      <c r="L61" s="8" t="s">
        <v>22</v>
      </c>
    </row>
    <row r="62" ht="60" customHeight="1" spans="1:12">
      <c r="A62" s="8" t="s">
        <v>395</v>
      </c>
      <c r="B62" s="8" t="s">
        <v>289</v>
      </c>
      <c r="C62" s="8" t="s">
        <v>396</v>
      </c>
      <c r="D62" s="8" t="s">
        <v>15</v>
      </c>
      <c r="E62" s="8" t="s">
        <v>397</v>
      </c>
      <c r="F62" s="8" t="s">
        <v>398</v>
      </c>
      <c r="G62" s="8" t="s">
        <v>399</v>
      </c>
      <c r="H62" s="8" t="s">
        <v>400</v>
      </c>
      <c r="I62" s="8" t="s">
        <v>401</v>
      </c>
      <c r="J62" s="8" t="s">
        <v>22</v>
      </c>
      <c r="K62" s="8" t="s">
        <v>29</v>
      </c>
      <c r="L62" s="8" t="s">
        <v>22</v>
      </c>
    </row>
    <row r="63" ht="60" customHeight="1" spans="1:12">
      <c r="A63" s="8" t="s">
        <v>402</v>
      </c>
      <c r="B63" s="8" t="s">
        <v>289</v>
      </c>
      <c r="C63" s="8" t="s">
        <v>396</v>
      </c>
      <c r="D63" s="8" t="s">
        <v>15</v>
      </c>
      <c r="E63" s="8" t="s">
        <v>403</v>
      </c>
      <c r="F63" s="8" t="s">
        <v>404</v>
      </c>
      <c r="G63" s="8" t="s">
        <v>405</v>
      </c>
      <c r="H63" s="8" t="s">
        <v>406</v>
      </c>
      <c r="I63" s="8" t="s">
        <v>407</v>
      </c>
      <c r="J63" s="8" t="s">
        <v>22</v>
      </c>
      <c r="K63" s="8" t="s">
        <v>29</v>
      </c>
      <c r="L63" s="8" t="s">
        <v>22</v>
      </c>
    </row>
    <row r="64" ht="60" customHeight="1" spans="1:12">
      <c r="A64" s="8" t="s">
        <v>408</v>
      </c>
      <c r="B64" s="8" t="s">
        <v>289</v>
      </c>
      <c r="C64" s="8" t="s">
        <v>396</v>
      </c>
      <c r="D64" s="8" t="s">
        <v>15</v>
      </c>
      <c r="E64" s="8" t="s">
        <v>409</v>
      </c>
      <c r="F64" s="8" t="s">
        <v>410</v>
      </c>
      <c r="G64" s="8" t="s">
        <v>411</v>
      </c>
      <c r="H64" s="8" t="s">
        <v>412</v>
      </c>
      <c r="I64" s="8" t="s">
        <v>413</v>
      </c>
      <c r="J64" s="8" t="s">
        <v>22</v>
      </c>
      <c r="K64" s="8" t="s">
        <v>29</v>
      </c>
      <c r="L64" s="8" t="s">
        <v>22</v>
      </c>
    </row>
    <row r="65" ht="60" customHeight="1" spans="1:12">
      <c r="A65" s="8" t="s">
        <v>414</v>
      </c>
      <c r="B65" s="8" t="s">
        <v>289</v>
      </c>
      <c r="C65" s="8" t="s">
        <v>396</v>
      </c>
      <c r="D65" s="8" t="s">
        <v>31</v>
      </c>
      <c r="E65" s="8" t="s">
        <v>415</v>
      </c>
      <c r="F65" s="8" t="s">
        <v>416</v>
      </c>
      <c r="G65" s="8" t="s">
        <v>417</v>
      </c>
      <c r="H65" s="8" t="s">
        <v>418</v>
      </c>
      <c r="I65" s="8" t="s">
        <v>419</v>
      </c>
      <c r="J65" s="8" t="s">
        <v>22</v>
      </c>
      <c r="K65" s="8" t="s">
        <v>29</v>
      </c>
      <c r="L65" s="8" t="s">
        <v>22</v>
      </c>
    </row>
    <row r="66" ht="60" customHeight="1" spans="1:12">
      <c r="A66" s="8" t="s">
        <v>420</v>
      </c>
      <c r="B66" s="8" t="s">
        <v>289</v>
      </c>
      <c r="C66" s="8" t="s">
        <v>396</v>
      </c>
      <c r="D66" s="8" t="s">
        <v>31</v>
      </c>
      <c r="E66" s="8" t="s">
        <v>421</v>
      </c>
      <c r="F66" s="8" t="s">
        <v>422</v>
      </c>
      <c r="G66" s="8" t="s">
        <v>423</v>
      </c>
      <c r="H66" s="8" t="s">
        <v>424</v>
      </c>
      <c r="I66" s="8" t="s">
        <v>425</v>
      </c>
      <c r="J66" s="8" t="s">
        <v>22</v>
      </c>
      <c r="K66" s="8" t="s">
        <v>29</v>
      </c>
      <c r="L66" s="8" t="s">
        <v>22</v>
      </c>
    </row>
    <row r="67" ht="60" customHeight="1" spans="1:12">
      <c r="A67" s="8" t="s">
        <v>426</v>
      </c>
      <c r="B67" s="8" t="s">
        <v>289</v>
      </c>
      <c r="C67" s="8" t="s">
        <v>396</v>
      </c>
      <c r="D67" s="8" t="s">
        <v>31</v>
      </c>
      <c r="E67" s="8" t="s">
        <v>427</v>
      </c>
      <c r="F67" s="8" t="s">
        <v>422</v>
      </c>
      <c r="G67" s="8" t="s">
        <v>428</v>
      </c>
      <c r="H67" s="8" t="s">
        <v>429</v>
      </c>
      <c r="I67" s="8" t="s">
        <v>430</v>
      </c>
      <c r="J67" s="8" t="s">
        <v>22</v>
      </c>
      <c r="K67" s="8" t="s">
        <v>29</v>
      </c>
      <c r="L67" s="8" t="s">
        <v>22</v>
      </c>
    </row>
    <row r="68" ht="60" customHeight="1" spans="1:12">
      <c r="A68" s="8" t="s">
        <v>431</v>
      </c>
      <c r="B68" s="8" t="s">
        <v>289</v>
      </c>
      <c r="C68" s="8" t="s">
        <v>396</v>
      </c>
      <c r="D68" s="8" t="s">
        <v>31</v>
      </c>
      <c r="E68" s="8" t="s">
        <v>432</v>
      </c>
      <c r="F68" s="8" t="s">
        <v>433</v>
      </c>
      <c r="G68" s="8" t="s">
        <v>434</v>
      </c>
      <c r="H68" s="8" t="s">
        <v>435</v>
      </c>
      <c r="I68" s="8" t="s">
        <v>436</v>
      </c>
      <c r="J68" s="8" t="s">
        <v>22</v>
      </c>
      <c r="K68" s="8" t="s">
        <v>29</v>
      </c>
      <c r="L68" s="8" t="s">
        <v>22</v>
      </c>
    </row>
    <row r="69" ht="60" customHeight="1" spans="1:12">
      <c r="A69" s="8" t="s">
        <v>437</v>
      </c>
      <c r="B69" s="8" t="s">
        <v>289</v>
      </c>
      <c r="C69" s="8" t="s">
        <v>396</v>
      </c>
      <c r="D69" s="8" t="s">
        <v>67</v>
      </c>
      <c r="E69" s="8" t="s">
        <v>438</v>
      </c>
      <c r="F69" s="8" t="s">
        <v>435</v>
      </c>
      <c r="G69" s="8" t="s">
        <v>439</v>
      </c>
      <c r="H69" s="8" t="s">
        <v>247</v>
      </c>
      <c r="I69" s="8" t="s">
        <v>440</v>
      </c>
      <c r="J69" s="8" t="s">
        <v>22</v>
      </c>
      <c r="K69" s="8" t="s">
        <v>29</v>
      </c>
      <c r="L69" s="8" t="s">
        <v>22</v>
      </c>
    </row>
    <row r="70" ht="60" customHeight="1" spans="1:12">
      <c r="A70" s="8" t="s">
        <v>441</v>
      </c>
      <c r="B70" s="8" t="s">
        <v>289</v>
      </c>
      <c r="C70" s="8" t="s">
        <v>396</v>
      </c>
      <c r="D70" s="8" t="s">
        <v>67</v>
      </c>
      <c r="E70" s="8" t="s">
        <v>442</v>
      </c>
      <c r="F70" s="8" t="s">
        <v>443</v>
      </c>
      <c r="G70" s="8" t="s">
        <v>444</v>
      </c>
      <c r="H70" s="8" t="s">
        <v>445</v>
      </c>
      <c r="I70" s="8" t="s">
        <v>446</v>
      </c>
      <c r="J70" s="8" t="s">
        <v>22</v>
      </c>
      <c r="K70" s="8" t="s">
        <v>29</v>
      </c>
      <c r="L70" s="8" t="s">
        <v>22</v>
      </c>
    </row>
    <row r="71" ht="60" customHeight="1" spans="1:12">
      <c r="A71" s="8" t="s">
        <v>447</v>
      </c>
      <c r="B71" s="8" t="s">
        <v>448</v>
      </c>
      <c r="C71" s="8" t="s">
        <v>449</v>
      </c>
      <c r="D71" s="8" t="s">
        <v>15</v>
      </c>
      <c r="E71" s="8" t="s">
        <v>450</v>
      </c>
      <c r="F71" s="8" t="s">
        <v>451</v>
      </c>
      <c r="G71" s="8" t="s">
        <v>452</v>
      </c>
      <c r="H71" s="8" t="s">
        <v>453</v>
      </c>
      <c r="I71" s="8" t="s">
        <v>454</v>
      </c>
      <c r="J71" s="8" t="s">
        <v>22</v>
      </c>
      <c r="K71" s="8" t="s">
        <v>29</v>
      </c>
      <c r="L71" s="8" t="s">
        <v>22</v>
      </c>
    </row>
    <row r="72" ht="60" customHeight="1" spans="1:12">
      <c r="A72" s="8" t="s">
        <v>455</v>
      </c>
      <c r="B72" s="8" t="s">
        <v>448</v>
      </c>
      <c r="C72" s="8" t="s">
        <v>456</v>
      </c>
      <c r="D72" s="8" t="s">
        <v>15</v>
      </c>
      <c r="E72" s="8" t="s">
        <v>457</v>
      </c>
      <c r="F72" s="8" t="s">
        <v>458</v>
      </c>
      <c r="G72" s="8" t="s">
        <v>459</v>
      </c>
      <c r="H72" s="8" t="s">
        <v>460</v>
      </c>
      <c r="I72" s="8" t="s">
        <v>461</v>
      </c>
      <c r="J72" s="8" t="s">
        <v>22</v>
      </c>
      <c r="K72" s="8" t="s">
        <v>29</v>
      </c>
      <c r="L72" s="8" t="s">
        <v>22</v>
      </c>
    </row>
    <row r="73" ht="60" customHeight="1" spans="1:12">
      <c r="A73" s="8" t="s">
        <v>462</v>
      </c>
      <c r="B73" s="8" t="s">
        <v>448</v>
      </c>
      <c r="C73" s="8" t="s">
        <v>463</v>
      </c>
      <c r="D73" s="8" t="s">
        <v>15</v>
      </c>
      <c r="E73" s="8" t="s">
        <v>464</v>
      </c>
      <c r="F73" s="8" t="s">
        <v>458</v>
      </c>
      <c r="G73" s="8" t="s">
        <v>465</v>
      </c>
      <c r="H73" s="8" t="s">
        <v>466</v>
      </c>
      <c r="I73" s="8" t="s">
        <v>467</v>
      </c>
      <c r="J73" s="8" t="s">
        <v>22</v>
      </c>
      <c r="K73" s="8" t="s">
        <v>29</v>
      </c>
      <c r="L73" s="8" t="s">
        <v>22</v>
      </c>
    </row>
    <row r="74" ht="60" customHeight="1" spans="1:12">
      <c r="A74" s="8" t="s">
        <v>468</v>
      </c>
      <c r="B74" s="8" t="s">
        <v>448</v>
      </c>
      <c r="C74" s="8" t="s">
        <v>469</v>
      </c>
      <c r="D74" s="8" t="s">
        <v>15</v>
      </c>
      <c r="E74" s="8" t="s">
        <v>470</v>
      </c>
      <c r="F74" s="8" t="s">
        <v>471</v>
      </c>
      <c r="G74" s="8" t="s">
        <v>472</v>
      </c>
      <c r="H74" s="8" t="s">
        <v>473</v>
      </c>
      <c r="I74" s="8" t="s">
        <v>474</v>
      </c>
      <c r="J74" s="8" t="s">
        <v>22</v>
      </c>
      <c r="K74" s="8" t="s">
        <v>29</v>
      </c>
      <c r="L74" s="8" t="s">
        <v>22</v>
      </c>
    </row>
    <row r="75" ht="60" customHeight="1" spans="1:12">
      <c r="A75" s="8" t="s">
        <v>475</v>
      </c>
      <c r="B75" s="8" t="s">
        <v>448</v>
      </c>
      <c r="C75" s="8" t="s">
        <v>476</v>
      </c>
      <c r="D75" s="8" t="s">
        <v>15</v>
      </c>
      <c r="E75" s="8" t="s">
        <v>477</v>
      </c>
      <c r="F75" s="8" t="s">
        <v>458</v>
      </c>
      <c r="G75" s="8" t="s">
        <v>478</v>
      </c>
      <c r="H75" s="8" t="s">
        <v>479</v>
      </c>
      <c r="I75" s="8" t="s">
        <v>480</v>
      </c>
      <c r="J75" s="8" t="s">
        <v>22</v>
      </c>
      <c r="K75" s="8" t="s">
        <v>29</v>
      </c>
      <c r="L75" s="8" t="s">
        <v>22</v>
      </c>
    </row>
    <row r="76" ht="60" customHeight="1" spans="1:12">
      <c r="A76" s="8" t="s">
        <v>481</v>
      </c>
      <c r="B76" s="8" t="s">
        <v>482</v>
      </c>
      <c r="C76" s="8" t="s">
        <v>483</v>
      </c>
      <c r="D76" s="8" t="s">
        <v>15</v>
      </c>
      <c r="E76" s="8" t="s">
        <v>484</v>
      </c>
      <c r="F76" s="8" t="s">
        <v>485</v>
      </c>
      <c r="G76" s="8" t="s">
        <v>486</v>
      </c>
      <c r="H76" s="8" t="s">
        <v>487</v>
      </c>
      <c r="I76" s="8" t="s">
        <v>488</v>
      </c>
      <c r="J76" s="8" t="s">
        <v>22</v>
      </c>
      <c r="K76" s="8" t="s">
        <v>29</v>
      </c>
      <c r="L76" s="8" t="s">
        <v>22</v>
      </c>
    </row>
    <row r="77" ht="60" customHeight="1" spans="1:12">
      <c r="A77" s="8" t="s">
        <v>489</v>
      </c>
      <c r="B77" s="8" t="s">
        <v>482</v>
      </c>
      <c r="C77" s="8" t="s">
        <v>490</v>
      </c>
      <c r="D77" s="8" t="s">
        <v>31</v>
      </c>
      <c r="E77" s="8" t="s">
        <v>491</v>
      </c>
      <c r="F77" s="8" t="s">
        <v>492</v>
      </c>
      <c r="G77" s="8" t="s">
        <v>493</v>
      </c>
      <c r="H77" s="8" t="s">
        <v>490</v>
      </c>
      <c r="I77" s="8" t="s">
        <v>494</v>
      </c>
      <c r="J77" s="8" t="s">
        <v>22</v>
      </c>
      <c r="K77" s="8" t="s">
        <v>29</v>
      </c>
      <c r="L77" s="8" t="s">
        <v>22</v>
      </c>
    </row>
    <row r="78" ht="60" customHeight="1" spans="1:12">
      <c r="A78" s="8" t="s">
        <v>495</v>
      </c>
      <c r="B78" s="8" t="s">
        <v>482</v>
      </c>
      <c r="C78" s="8" t="s">
        <v>496</v>
      </c>
      <c r="D78" s="8" t="s">
        <v>31</v>
      </c>
      <c r="E78" s="8" t="s">
        <v>497</v>
      </c>
      <c r="F78" s="8" t="s">
        <v>498</v>
      </c>
      <c r="G78" s="8" t="s">
        <v>499</v>
      </c>
      <c r="H78" s="8" t="s">
        <v>500</v>
      </c>
      <c r="I78" s="8" t="s">
        <v>501</v>
      </c>
      <c r="J78" s="8" t="s">
        <v>22</v>
      </c>
      <c r="K78" s="8" t="s">
        <v>29</v>
      </c>
      <c r="L78" s="8" t="s">
        <v>22</v>
      </c>
    </row>
    <row r="79" ht="60" customHeight="1" spans="1:12">
      <c r="A79" s="8" t="s">
        <v>502</v>
      </c>
      <c r="B79" s="8" t="s">
        <v>482</v>
      </c>
      <c r="C79" s="8" t="s">
        <v>503</v>
      </c>
      <c r="D79" s="8" t="s">
        <v>67</v>
      </c>
      <c r="E79" s="8" t="s">
        <v>504</v>
      </c>
      <c r="F79" s="8" t="s">
        <v>505</v>
      </c>
      <c r="G79" s="8" t="s">
        <v>506</v>
      </c>
      <c r="H79" s="8" t="s">
        <v>507</v>
      </c>
      <c r="I79" s="8" t="s">
        <v>508</v>
      </c>
      <c r="J79" s="8" t="s">
        <v>22</v>
      </c>
      <c r="K79" s="8" t="s">
        <v>29</v>
      </c>
      <c r="L79" s="8" t="s">
        <v>22</v>
      </c>
    </row>
    <row r="80" ht="60" customHeight="1" spans="1:12">
      <c r="A80" s="8" t="s">
        <v>509</v>
      </c>
      <c r="B80" s="8" t="s">
        <v>510</v>
      </c>
      <c r="C80" s="8" t="s">
        <v>511</v>
      </c>
      <c r="D80" s="8" t="s">
        <v>15</v>
      </c>
      <c r="E80" s="8" t="s">
        <v>512</v>
      </c>
      <c r="F80" s="8" t="s">
        <v>513</v>
      </c>
      <c r="G80" s="8" t="s">
        <v>514</v>
      </c>
      <c r="H80" s="8" t="s">
        <v>515</v>
      </c>
      <c r="I80" s="8" t="s">
        <v>516</v>
      </c>
      <c r="J80" s="8" t="s">
        <v>22</v>
      </c>
      <c r="K80" s="8" t="s">
        <v>29</v>
      </c>
      <c r="L80" s="8" t="s">
        <v>22</v>
      </c>
    </row>
    <row r="81" ht="60" customHeight="1" spans="1:12">
      <c r="A81" s="8" t="s">
        <v>517</v>
      </c>
      <c r="B81" s="8" t="s">
        <v>510</v>
      </c>
      <c r="C81" s="8" t="s">
        <v>518</v>
      </c>
      <c r="D81" s="8" t="s">
        <v>31</v>
      </c>
      <c r="E81" s="8" t="s">
        <v>519</v>
      </c>
      <c r="F81" s="8" t="s">
        <v>520</v>
      </c>
      <c r="G81" s="8" t="s">
        <v>521</v>
      </c>
      <c r="H81" s="8" t="s">
        <v>522</v>
      </c>
      <c r="I81" s="8" t="s">
        <v>523</v>
      </c>
      <c r="J81" s="8" t="s">
        <v>22</v>
      </c>
      <c r="K81" s="8" t="s">
        <v>29</v>
      </c>
      <c r="L81" s="8" t="s">
        <v>22</v>
      </c>
    </row>
    <row r="82" ht="60" customHeight="1" spans="1:12">
      <c r="A82" s="8" t="s">
        <v>524</v>
      </c>
      <c r="B82" s="8" t="s">
        <v>510</v>
      </c>
      <c r="C82" s="8" t="s">
        <v>525</v>
      </c>
      <c r="D82" s="8" t="s">
        <v>31</v>
      </c>
      <c r="E82" s="8" t="s">
        <v>526</v>
      </c>
      <c r="F82" s="8" t="s">
        <v>527</v>
      </c>
      <c r="G82" s="8" t="s">
        <v>528</v>
      </c>
      <c r="H82" s="8" t="s">
        <v>529</v>
      </c>
      <c r="I82" s="8" t="s">
        <v>530</v>
      </c>
      <c r="J82" s="8" t="s">
        <v>22</v>
      </c>
      <c r="K82" s="8" t="s">
        <v>29</v>
      </c>
      <c r="L82" s="8" t="s">
        <v>22</v>
      </c>
    </row>
  </sheetData>
  <conditionalFormatting sqref="D2:D82">
    <cfRule type="expression" dxfId="0" priority="1">
      <formula>$D2="P0"</formula>
    </cfRule>
    <cfRule type="expression" dxfId="1" priority="2">
      <formula>$D2="P1"</formula>
    </cfRule>
  </conditionalFormatting>
  <conditionalFormatting sqref="K2:K82">
    <cfRule type="expression" dxfId="2" priority="3">
      <formula>$K2="通过"</formula>
    </cfRule>
    <cfRule type="expression" dxfId="3" priority="4">
      <formula>$K2="失败"</formula>
    </cfRule>
    <cfRule type="expression" dxfId="4" priority="5">
      <formula>$K2="阻塞"</formula>
    </cfRule>
  </conditionalFormatting>
  <dataValidations count="3">
    <dataValidation type="list" sqref="B2:B82">
      <formula1>下拉选项!$A$2:$A$9</formula1>
    </dataValidation>
    <dataValidation type="list" sqref="D2:D82">
      <formula1>下拉选项!$B$2:$B$4</formula1>
    </dataValidation>
    <dataValidation type="list" sqref="K2:K82">
      <formula1>下拉选项!$C$2:$C$6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workbookViewId="0">
      <selection activeCell="A1" sqref="A1:D1"/>
    </sheetView>
  </sheetViews>
  <sheetFormatPr defaultColWidth="9" defaultRowHeight="13.5" outlineLevelCol="3"/>
  <cols>
    <col min="1" max="1" width="18" customWidth="1"/>
    <col min="2" max="2" width="14" customWidth="1"/>
    <col min="3" max="3" width="30" customWidth="1"/>
    <col min="4" max="4" width="14" customWidth="1"/>
  </cols>
  <sheetData>
    <row r="1" ht="34" customHeight="1" spans="1:4">
      <c r="A1" s="4" t="s">
        <v>531</v>
      </c>
      <c r="B1" t="s">
        <v>22</v>
      </c>
      <c r="C1" t="s">
        <v>22</v>
      </c>
      <c r="D1" t="s">
        <v>22</v>
      </c>
    </row>
    <row r="2" ht="13.85" spans="1:4">
      <c r="A2" s="5" t="s">
        <v>532</v>
      </c>
      <c r="B2" s="5" t="s">
        <v>533</v>
      </c>
      <c r="C2" s="5" t="s">
        <v>534</v>
      </c>
      <c r="D2" s="5" t="s">
        <v>22</v>
      </c>
    </row>
    <row r="3" spans="1:4">
      <c r="A3" s="6" t="s">
        <v>535</v>
      </c>
      <c r="B3" s="6">
        <f>COUNTA(功能测试用例!A2:A82)</f>
        <v>81</v>
      </c>
      <c r="C3" s="6" t="s">
        <v>536</v>
      </c>
      <c r="D3" s="6" t="s">
        <v>22</v>
      </c>
    </row>
    <row r="4" spans="1:4">
      <c r="A4" s="6" t="s">
        <v>537</v>
      </c>
      <c r="B4" s="6">
        <f>COUNTIF(功能测试用例!D2:D82,"P0")</f>
        <v>29</v>
      </c>
      <c r="C4" s="6" t="s">
        <v>538</v>
      </c>
      <c r="D4" s="6" t="s">
        <v>22</v>
      </c>
    </row>
    <row r="5" spans="1:4">
      <c r="A5" s="6" t="s">
        <v>539</v>
      </c>
      <c r="B5" s="6">
        <f>COUNTIF(功能测试用例!D2:D82,"P1")</f>
        <v>37</v>
      </c>
      <c r="C5" s="6" t="s">
        <v>540</v>
      </c>
      <c r="D5" s="6" t="s">
        <v>22</v>
      </c>
    </row>
    <row r="6" spans="1:4">
      <c r="A6" s="6" t="s">
        <v>541</v>
      </c>
      <c r="B6" s="6">
        <f>COUNTIF(功能测试用例!D2:D82,"P2")</f>
        <v>15</v>
      </c>
      <c r="C6" s="6" t="s">
        <v>542</v>
      </c>
      <c r="D6" s="6" t="s">
        <v>22</v>
      </c>
    </row>
    <row r="7" spans="1:4">
      <c r="A7" s="6" t="s">
        <v>543</v>
      </c>
      <c r="B7" s="6">
        <f>COUNTIF(功能测试用例!K2:K82,"通过")</f>
        <v>0</v>
      </c>
      <c r="C7" s="6" t="s">
        <v>544</v>
      </c>
      <c r="D7" s="6" t="s">
        <v>22</v>
      </c>
    </row>
    <row r="8" spans="1:4">
      <c r="A8" s="6" t="s">
        <v>545</v>
      </c>
      <c r="B8" s="6">
        <f>COUNTIF(功能测试用例!K2:K82,"失败")</f>
        <v>0</v>
      </c>
      <c r="C8" s="6" t="s">
        <v>546</v>
      </c>
      <c r="D8" s="6" t="s">
        <v>22</v>
      </c>
    </row>
    <row r="9" spans="1:4">
      <c r="A9" s="6" t="s">
        <v>547</v>
      </c>
      <c r="B9" s="6">
        <f>COUNTIF(功能测试用例!K2:K82,"阻塞")</f>
        <v>0</v>
      </c>
      <c r="C9" s="6" t="s">
        <v>548</v>
      </c>
      <c r="D9" s="6" t="s">
        <v>22</v>
      </c>
    </row>
    <row r="10" spans="1:4">
      <c r="A10" s="6" t="s">
        <v>549</v>
      </c>
      <c r="B10" s="6">
        <f>COUNTIF(功能测试用例!K2:K82,"未执行")</f>
        <v>80</v>
      </c>
      <c r="C10" s="6" t="s">
        <v>550</v>
      </c>
      <c r="D10" s="6" t="s">
        <v>22</v>
      </c>
    </row>
    <row r="11" spans="1:4">
      <c r="A11" s="6" t="s">
        <v>551</v>
      </c>
      <c r="B11" s="7">
        <f>IF(B3=0,0,B7/B3)</f>
        <v>0</v>
      </c>
      <c r="C11" s="6" t="s">
        <v>552</v>
      </c>
      <c r="D11" s="6" t="s">
        <v>22</v>
      </c>
    </row>
  </sheetData>
  <mergeCells count="1">
    <mergeCell ref="A1:D1"/>
  </mergeCell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A1" sqref="A1"/>
    </sheetView>
  </sheetViews>
  <sheetFormatPr defaultColWidth="9" defaultRowHeight="13.5" outlineLevelCol="2"/>
  <cols>
    <col min="1" max="3" width="18" customWidth="1"/>
  </cols>
  <sheetData>
    <row r="1" ht="13.85" spans="1:3">
      <c r="A1" s="3" t="s">
        <v>1</v>
      </c>
      <c r="B1" s="3" t="s">
        <v>3</v>
      </c>
      <c r="C1" s="3" t="s">
        <v>10</v>
      </c>
    </row>
    <row r="2" spans="1:3">
      <c r="A2" t="s">
        <v>13</v>
      </c>
      <c r="B2" t="s">
        <v>15</v>
      </c>
      <c r="C2" t="s">
        <v>29</v>
      </c>
    </row>
    <row r="3" spans="1:3">
      <c r="A3" t="s">
        <v>73</v>
      </c>
      <c r="B3" t="s">
        <v>31</v>
      </c>
      <c r="C3" t="s">
        <v>553</v>
      </c>
    </row>
    <row r="4" spans="1:3">
      <c r="A4" t="s">
        <v>94</v>
      </c>
      <c r="B4" t="s">
        <v>67</v>
      </c>
      <c r="C4" t="s">
        <v>554</v>
      </c>
    </row>
    <row r="5" spans="1:3">
      <c r="A5" t="s">
        <v>224</v>
      </c>
      <c r="B5" t="s">
        <v>22</v>
      </c>
      <c r="C5" t="s">
        <v>555</v>
      </c>
    </row>
    <row r="6" spans="1:3">
      <c r="A6" t="s">
        <v>289</v>
      </c>
      <c r="B6" t="s">
        <v>22</v>
      </c>
      <c r="C6" t="s">
        <v>556</v>
      </c>
    </row>
    <row r="7" spans="1:3">
      <c r="A7" t="s">
        <v>448</v>
      </c>
      <c r="B7" t="s">
        <v>22</v>
      </c>
      <c r="C7" t="s">
        <v>22</v>
      </c>
    </row>
    <row r="8" spans="1:3">
      <c r="A8" t="s">
        <v>482</v>
      </c>
      <c r="B8" t="s">
        <v>22</v>
      </c>
      <c r="C8" t="s">
        <v>22</v>
      </c>
    </row>
    <row r="9" spans="1:3">
      <c r="A9" t="s">
        <v>510</v>
      </c>
      <c r="B9" t="s">
        <v>22</v>
      </c>
      <c r="C9" t="s">
        <v>22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workbookViewId="0">
      <selection activeCell="A1" sqref="A1"/>
    </sheetView>
  </sheetViews>
  <sheetFormatPr defaultColWidth="9" defaultRowHeight="13.5" outlineLevelRow="5"/>
  <cols>
    <col min="1" max="3" width="12" customWidth="1"/>
    <col min="4" max="4" width="28" customWidth="1"/>
    <col min="5" max="5" width="10" customWidth="1"/>
    <col min="6" max="6" width="8" customWidth="1"/>
    <col min="7" max="7" width="40" customWidth="1"/>
    <col min="8" max="9" width="28" customWidth="1"/>
    <col min="10" max="11" width="12" customWidth="1"/>
    <col min="12" max="12" width="18" customWidth="1"/>
  </cols>
  <sheetData>
    <row r="1" ht="13.9" spans="1:12">
      <c r="A1" s="1" t="s">
        <v>557</v>
      </c>
      <c r="B1" s="1" t="s">
        <v>558</v>
      </c>
      <c r="C1" s="1" t="s">
        <v>559</v>
      </c>
      <c r="D1" s="1" t="s">
        <v>560</v>
      </c>
      <c r="E1" s="1" t="s">
        <v>561</v>
      </c>
      <c r="F1" s="1" t="s">
        <v>3</v>
      </c>
      <c r="G1" s="1" t="s">
        <v>562</v>
      </c>
      <c r="H1" s="1" t="s">
        <v>8</v>
      </c>
      <c r="I1" s="1" t="s">
        <v>9</v>
      </c>
      <c r="J1" s="1" t="s">
        <v>563</v>
      </c>
      <c r="K1" s="1" t="s">
        <v>564</v>
      </c>
      <c r="L1" s="1" t="s">
        <v>565</v>
      </c>
    </row>
    <row r="2" spans="1:12">
      <c r="A2" s="2" t="s">
        <v>566</v>
      </c>
      <c r="B2" s="2" t="s">
        <v>22</v>
      </c>
      <c r="C2" s="2" t="s">
        <v>22</v>
      </c>
      <c r="D2" s="2" t="s">
        <v>22</v>
      </c>
      <c r="E2" s="2" t="s">
        <v>567</v>
      </c>
      <c r="F2" s="2" t="s">
        <v>15</v>
      </c>
      <c r="G2" s="2" t="s">
        <v>22</v>
      </c>
      <c r="H2" s="2" t="s">
        <v>22</v>
      </c>
      <c r="I2" s="2" t="s">
        <v>22</v>
      </c>
      <c r="J2" s="2" t="s">
        <v>568</v>
      </c>
      <c r="K2" s="2" t="s">
        <v>22</v>
      </c>
      <c r="L2" s="2" t="s">
        <v>22</v>
      </c>
    </row>
    <row r="3" spans="1:12">
      <c r="A3" s="2" t="s">
        <v>569</v>
      </c>
      <c r="B3" s="2" t="s">
        <v>22</v>
      </c>
      <c r="C3" s="2" t="s">
        <v>22</v>
      </c>
      <c r="D3" s="2" t="s">
        <v>22</v>
      </c>
      <c r="E3" s="2" t="s">
        <v>570</v>
      </c>
      <c r="F3" s="2" t="s">
        <v>31</v>
      </c>
      <c r="G3" s="2" t="s">
        <v>22</v>
      </c>
      <c r="H3" s="2" t="s">
        <v>22</v>
      </c>
      <c r="I3" s="2" t="s">
        <v>22</v>
      </c>
      <c r="J3" s="2" t="s">
        <v>568</v>
      </c>
      <c r="K3" s="2" t="s">
        <v>22</v>
      </c>
      <c r="L3" s="2" t="s">
        <v>22</v>
      </c>
    </row>
    <row r="4" spans="1:12">
      <c r="A4" s="2" t="s">
        <v>571</v>
      </c>
      <c r="B4" s="2" t="s">
        <v>22</v>
      </c>
      <c r="C4" s="2" t="s">
        <v>22</v>
      </c>
      <c r="D4" s="2" t="s">
        <v>22</v>
      </c>
      <c r="E4" s="2" t="s">
        <v>572</v>
      </c>
      <c r="F4" s="2" t="s">
        <v>67</v>
      </c>
      <c r="G4" s="2" t="s">
        <v>22</v>
      </c>
      <c r="H4" s="2" t="s">
        <v>22</v>
      </c>
      <c r="I4" s="2" t="s">
        <v>22</v>
      </c>
      <c r="J4" s="2" t="s">
        <v>568</v>
      </c>
      <c r="K4" s="2" t="s">
        <v>22</v>
      </c>
      <c r="L4" s="2" t="s">
        <v>22</v>
      </c>
    </row>
    <row r="5" spans="1:12">
      <c r="A5" s="2" t="s">
        <v>573</v>
      </c>
      <c r="B5" s="2" t="s">
        <v>22</v>
      </c>
      <c r="C5" s="2" t="s">
        <v>22</v>
      </c>
      <c r="D5" s="2" t="s">
        <v>22</v>
      </c>
      <c r="E5" s="2" t="s">
        <v>570</v>
      </c>
      <c r="F5" s="2" t="s">
        <v>31</v>
      </c>
      <c r="G5" s="2" t="s">
        <v>22</v>
      </c>
      <c r="H5" s="2" t="s">
        <v>22</v>
      </c>
      <c r="I5" s="2" t="s">
        <v>22</v>
      </c>
      <c r="J5" s="2" t="s">
        <v>568</v>
      </c>
      <c r="K5" s="2" t="s">
        <v>22</v>
      </c>
      <c r="L5" s="2" t="s">
        <v>22</v>
      </c>
    </row>
    <row r="6" spans="1:12">
      <c r="A6" s="2" t="s">
        <v>574</v>
      </c>
      <c r="B6" s="2" t="s">
        <v>22</v>
      </c>
      <c r="C6" s="2" t="s">
        <v>22</v>
      </c>
      <c r="D6" s="2" t="s">
        <v>22</v>
      </c>
      <c r="E6" s="2" t="s">
        <v>572</v>
      </c>
      <c r="F6" s="2" t="s">
        <v>67</v>
      </c>
      <c r="G6" s="2" t="s">
        <v>22</v>
      </c>
      <c r="H6" s="2" t="s">
        <v>22</v>
      </c>
      <c r="I6" s="2" t="s">
        <v>22</v>
      </c>
      <c r="J6" s="2" t="s">
        <v>568</v>
      </c>
      <c r="K6" s="2" t="s">
        <v>22</v>
      </c>
      <c r="L6" s="2" t="s">
        <v>22</v>
      </c>
    </row>
  </sheetData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功能测试用例</vt:lpstr>
      <vt:lpstr>测试汇总</vt:lpstr>
      <vt:lpstr>下拉选项</vt:lpstr>
      <vt:lpstr>Bug记录模板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张越</cp:lastModifiedBy>
  <dcterms:created xsi:type="dcterms:W3CDTF">2026-07-04T15:38:57Z</dcterms:created>
  <dcterms:modified xsi:type="dcterms:W3CDTF">2026-07-05T05:33:23Z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B44A2A0730454666AFA382EB787AAEED_12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