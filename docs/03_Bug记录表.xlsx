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E:\MoodBoard-Complete\docs\"/>
    </mc:Choice>
  </mc:AlternateContent>
  <xr:revisionPtr revIDLastSave="0" documentId="13_ncr:1_{83A8B69A-E74E-4E26-B0B1-86F7565D387F}" xr6:coauthVersionLast="47" xr6:coauthVersionMax="47" xr10:uidLastSave="{00000000-0000-0000-0000-000000000000}"/>
  <bookViews>
    <workbookView xWindow="10718" yWindow="0" windowWidth="10965" windowHeight="12863" xr2:uid="{00000000-000D-0000-FFFF-FFFF00000000}"/>
  </bookViews>
  <sheets>
    <sheet name="Bug记录" sheetId="1" r:id="rId1"/>
    <sheet name="缺陷统计" sheetId="2" r:id="rId2"/>
    <sheet name="修复回归记录" sheetId="3" r:id="rId3"/>
    <sheet name="下拉选项" sheetId="4" r:id="rId4"/>
  </sheets>
  <calcPr calcId="181029"/>
</workbook>
</file>

<file path=xl/calcChain.xml><?xml version="1.0" encoding="utf-8"?>
<calcChain xmlns="http://schemas.openxmlformats.org/spreadsheetml/2006/main">
  <c r="H8" i="2" l="1"/>
  <c r="B8" i="2"/>
  <c r="H7" i="2"/>
  <c r="E7" i="2"/>
  <c r="B7" i="2"/>
  <c r="H6" i="2"/>
  <c r="E6" i="2"/>
  <c r="B6" i="2"/>
  <c r="H5" i="2"/>
  <c r="E5" i="2"/>
  <c r="B5" i="2"/>
  <c r="H4" i="2"/>
  <c r="E4" i="2"/>
  <c r="B4" i="2"/>
  <c r="B9" i="2" l="1"/>
  <c r="H9" i="2"/>
</calcChain>
</file>

<file path=xl/sharedStrings.xml><?xml version="1.0" encoding="utf-8"?>
<sst xmlns="http://schemas.openxmlformats.org/spreadsheetml/2006/main" count="276" uniqueCount="119">
  <si>
    <t>MoodBoard × MBTI 项目 Bug 记录表</t>
  </si>
  <si>
    <t/>
  </si>
  <si>
    <t>说明：发现缺陷后先在本表登记；修复后在“修复回归记录”中补充验证结果。</t>
  </si>
  <si>
    <t>Bug编号</t>
  </si>
  <si>
    <t>所属模块</t>
  </si>
  <si>
    <t>Bug标题</t>
  </si>
  <si>
    <t>严重程度</t>
  </si>
  <si>
    <t>优先级</t>
  </si>
  <si>
    <t>发现版本</t>
  </si>
  <si>
    <t>测试环境</t>
  </si>
  <si>
    <t>前置条件</t>
  </si>
  <si>
    <t>复现步骤</t>
  </si>
  <si>
    <t>预期结果</t>
  </si>
  <si>
    <t>实际结果</t>
  </si>
  <si>
    <t>接口表现/证据</t>
  </si>
  <si>
    <t>初步定位</t>
  </si>
  <si>
    <t>处理人</t>
  </si>
  <si>
    <t>当前状态</t>
  </si>
  <si>
    <t>关联用例ID</t>
  </si>
  <si>
    <t>发现日期</t>
  </si>
  <si>
    <t>关闭日期</t>
  </si>
  <si>
    <t>备注</t>
  </si>
  <si>
    <t>BUG-001</t>
  </si>
  <si>
    <t>情绪日记模块</t>
  </si>
  <si>
    <t>获取位置后仅显示“当前位置”，未显示市和区</t>
  </si>
  <si>
    <t>中</t>
  </si>
  <si>
    <t>P1</t>
  </si>
  <si>
    <t>1. 启动前端和后端服务；
2. 登录系统或游客登录；
3. 进入情绪日记页面；
4. 点击某一天进入日记编辑页面；
5. 点击“获取位置”按钮。</t>
  </si>
  <si>
    <t>系统应根据经纬度调用高德地图逆地理编码接口，显示具体市区信息，例如“杭州市 临平区”。</t>
  </si>
  <si>
    <t>页面仅显示“当前位置”，未显示 city、district 等市区信息。</t>
  </si>
  <si>
    <t>Network 中 /api/location/reverse 返回 200，但返回数据里 province、city、district 为空，locationName 为“当前位置”。</t>
  </si>
  <si>
    <t>前端已成功获取经纬度，问题可能在高德 API Key 未生效、后端逆地理编码调用失败，或经纬度顺序处理错误。</t>
  </si>
  <si>
    <t>张越</t>
  </si>
  <si>
    <t>已修复</t>
  </si>
  <si>
    <t>配置高德 Web服务 Key 后，重新启动后端，获取位置功能可正常显示市和区。</t>
  </si>
  <si>
    <t>MoodBoard × MBTI 缺陷统计看板</t>
  </si>
  <si>
    <t>指标</t>
  </si>
  <si>
    <t>数量</t>
  </si>
  <si>
    <t>状态</t>
  </si>
  <si>
    <t>总Bug数</t>
  </si>
  <si>
    <t>低</t>
  </si>
  <si>
    <t>待修复</t>
  </si>
  <si>
    <t>P0数量</t>
  </si>
  <si>
    <t>修复中</t>
  </si>
  <si>
    <t>P1数量</t>
  </si>
  <si>
    <t>高</t>
  </si>
  <si>
    <t>P2数量</t>
  </si>
  <si>
    <t>阻塞</t>
  </si>
  <si>
    <t>已关闭</t>
  </si>
  <si>
    <t>P3数量</t>
  </si>
  <si>
    <t>重新打开</t>
  </si>
  <si>
    <t>通过修复率</t>
  </si>
  <si>
    <t>未关闭数</t>
  </si>
  <si>
    <t>MoodBoard × MBTI 修复回归记录</t>
  </si>
  <si>
    <t>回归编号</t>
  </si>
  <si>
    <t>修复版本</t>
  </si>
  <si>
    <t>修复说明</t>
  </si>
  <si>
    <t>回归步骤</t>
  </si>
  <si>
    <t>回归结论</t>
  </si>
  <si>
    <t>回归人</t>
  </si>
  <si>
    <t>回归日期</t>
  </si>
  <si>
    <t>REG-001</t>
  </si>
  <si>
    <t>1. 重新启动前后端；
2. 进入日记编辑页；
3. 点击获取位置；
4. 查看页面位置文本和 Network 返回。</t>
  </si>
  <si>
    <t>页面显示市和区，接口返回 province/city/district。</t>
  </si>
  <si>
    <t>页面已正常显示市区信息</t>
  </si>
  <si>
    <t>通过</t>
  </si>
  <si>
    <t>P0</t>
  </si>
  <si>
    <t>登录注册模块</t>
  </si>
  <si>
    <t>个人资料模块</t>
  </si>
  <si>
    <t>P2</t>
  </si>
  <si>
    <t>P3</t>
  </si>
  <si>
    <t>AI树洞模块</t>
  </si>
  <si>
    <t>不予修复</t>
  </si>
  <si>
    <t>人格对话模块</t>
  </si>
  <si>
    <t>心灵盲盒模块</t>
  </si>
  <si>
    <t>人格面具模块</t>
  </si>
  <si>
    <t>多人格对战模块</t>
  </si>
  <si>
    <t>接口测试模块</t>
  </si>
  <si>
    <t>兼容性测试</t>
  </si>
  <si>
    <t>BUG-002</t>
    <phoneticPr fontId="9" type="noConversion"/>
  </si>
  <si>
    <t>调用 DeepSeek 接口时返回 400，AI 聊天无法正常回复</t>
    <phoneticPr fontId="9" type="noConversion"/>
  </si>
  <si>
    <t>1. 启动前后端；2. 登录系统；3. 进入日常树洞；4. 输入一句话并发送</t>
    <phoneticPr fontId="9" type="noConversion"/>
  </si>
  <si>
    <t>AI 正常返回回复内容</t>
    <phoneticPr fontId="9" type="noConversion"/>
  </si>
  <si>
    <t>页面提示“DeepSeek 接口调用失败，状态码：400。请检查 API Key、模型名和接口地址。”</t>
    <phoneticPr fontId="9" type="noConversion"/>
  </si>
  <si>
    <t>后端已成功接收到前端聊天请求，但调用 DeepSeek /chat/completions 时请求参数不符合 DeepSeek API 要求，可能是模型名、messages结构或 thinking 参数格式错误</t>
    <phoneticPr fontId="9" type="noConversion"/>
  </si>
  <si>
    <t>张越</t>
    <phoneticPr fontId="9" type="noConversion"/>
  </si>
  <si>
    <t>已修复</t>
    <phoneticPr fontId="9" type="noConversion"/>
  </si>
  <si>
    <t>Windows + Chrome + Spring Boot + Vue</t>
    <phoneticPr fontId="9" type="noConversion"/>
  </si>
  <si>
    <t>V1.0</t>
    <phoneticPr fontId="9" type="noConversion"/>
  </si>
  <si>
    <t>用户已登录系统，并进入情绪日记编辑页面</t>
    <phoneticPr fontId="9" type="noConversion"/>
  </si>
  <si>
    <t>DeepSeek 接口调用失败，状态码：400。</t>
    <phoneticPr fontId="9" type="noConversion"/>
  </si>
  <si>
    <t>BUG-003</t>
    <phoneticPr fontId="9" type="noConversion"/>
  </si>
  <si>
    <t>AI树洞模块 / 日常树洞</t>
    <phoneticPr fontId="9" type="noConversion"/>
  </si>
  <si>
    <t>清空会话后左侧会话栏仍保留原聊天标题</t>
    <phoneticPr fontId="9" type="noConversion"/>
  </si>
  <si>
    <t>用户已登录，进入 AI树洞-日常树洞页面，并已发送过聊天内容</t>
    <phoneticPr fontId="9" type="noConversion"/>
  </si>
  <si>
    <t>1. 进入 AI树洞；
2. 点击日常树洞；
3. 输入“我今天在写作业”并发送；
4. 点击清空会话；
5. 查看左侧会话栏标题。</t>
    <phoneticPr fontId="9" type="noConversion"/>
  </si>
  <si>
    <t>清空会话后，左侧会话标题和预览内容应同步清空，或恢复为“新对话 / 暂无内容”。</t>
    <phoneticPr fontId="9" type="noConversion"/>
  </si>
  <si>
    <t>右侧聊天内容被清空，但左侧会话栏仍显示“我今天在写作业”</t>
    <phoneticPr fontId="9" type="noConversion"/>
  </si>
  <si>
    <t>清空会话时只清空了当前消息列表，没有同步更新左侧 session 的 title / preview 字段。</t>
    <phoneticPr fontId="9" type="noConversion"/>
  </si>
  <si>
    <t>BUG-004</t>
    <phoneticPr fontId="9" type="noConversion"/>
  </si>
  <si>
    <t>AI树洞模块 / 会话管理</t>
    <phoneticPr fontId="9" type="noConversion"/>
  </si>
  <si>
    <t>左侧会话栏无法删除单个历史会话</t>
    <phoneticPr fontId="9" type="noConversion"/>
  </si>
  <si>
    <t>用户已进入日常树洞、人格对话、心灵盲盒或多人格对战页面，左侧存在历史会话</t>
    <phoneticPr fontId="9" type="noConversion"/>
  </si>
  <si>
    <t>1. 进入任意聊天页面；
2. 新建多个会话；
3. 尝试删除其中一个历史会话；
4. 查看左侧会话栏是否有删除按钮或左滑删除功能</t>
    <phoneticPr fontId="9" type="noConversion"/>
  </si>
  <si>
    <t>每个历史会话支持删除操作，例如鼠标悬停显示删除按钮，或移动端左滑显示“删除”按钮。</t>
    <phoneticPr fontId="9" type="noConversion"/>
  </si>
  <si>
    <t>当前会话栏仅支持点击切换会话，无法删除单个历史会话。</t>
    <phoneticPr fontId="9" type="noConversion"/>
  </si>
  <si>
    <t>前端会话列表只实现了新增、切换和清空当前会话，没有实现单个 session 删除逻辑。</t>
    <phoneticPr fontId="9" type="noConversion"/>
  </si>
  <si>
    <t>BUG-005</t>
    <phoneticPr fontId="9" type="noConversion"/>
  </si>
  <si>
    <t>情绪日记模块</t>
    <phoneticPr fontId="9" type="noConversion"/>
  </si>
  <si>
    <t>新建日记时默认选中“平静”，导致未选择心情也被记录</t>
    <phoneticPr fontId="9" type="noConversion"/>
  </si>
  <si>
    <t>新建日记页面默认不选中任何心情，用户手动选择后才记录</t>
    <phoneticPr fontId="9" type="noConversion"/>
  </si>
  <si>
    <t>进入日记编辑页后默认显示“平静 😌”</t>
    <phoneticPr fontId="9" type="noConversion"/>
  </si>
  <si>
    <t>前端日记编辑组件初始化时将 mood / emotionLabel 默认赋值为“😌 / 平静”</t>
    <phoneticPr fontId="9" type="noConversion"/>
  </si>
  <si>
    <t>BUG-006</t>
    <phoneticPr fontId="9" type="noConversion"/>
  </si>
  <si>
    <t>修复中</t>
    <phoneticPr fontId="9" type="noConversion"/>
  </si>
  <si>
    <t>周视图保存日记后，月视图和年视图未同步显示</t>
    <phoneticPr fontId="9" type="noConversion"/>
  </si>
  <si>
    <t>用户在任意视图保存日记后，周/月/年视图均能同步展示该日期情绪记录</t>
    <phoneticPr fontId="9" type="noConversion"/>
  </si>
  <si>
    <t>周视图中写入的日记，在月视图和年视图中没有同步展示</t>
    <phoneticPr fontId="9" type="noConversion"/>
  </si>
  <si>
    <t>DiaryPage 不同视图分别请求数据，数据源未统一，导致周/月/年视图展示不一致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</si>
</sst>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8" formatCode="yyyy\-mm\-dd"/>
  </numFmts>
  <fonts count="10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6"/>
      <color rgb="FFFFFFFF"/>
      <name val="Carlito"/>
      <charset val="134"/>
    </font>
    <font>
      <sz val="10"/>
      <name val="Carlito"/>
      <charset val="134"/>
    </font>
    <font>
      <sz val="10"/>
      <name val="宋体"/>
      <family val="3"/>
      <charset val="134"/>
    </font>
    <font>
      <b/>
      <sz val="11"/>
      <color rgb="FF134E4A"/>
      <name val="Carlito"/>
      <charset val="134"/>
    </font>
    <font>
      <i/>
      <sz val="11"/>
      <color rgb="FF334155"/>
      <name val="Carlito"/>
      <charset val="134"/>
    </font>
    <font>
      <sz val="11"/>
      <name val="Carlito"/>
      <charset val="134"/>
    </font>
    <font>
      <b/>
      <sz val="11"/>
      <name val="Carlito"/>
      <charset val="134"/>
    </font>
    <font>
      <sz val="9"/>
      <name val="Carlito"/>
      <charset val="134"/>
    </font>
  </fonts>
  <fills count="6">
    <fill>
      <patternFill patternType="none"/>
    </fill>
    <fill>
      <patternFill patternType="gray125"/>
    </fill>
    <fill>
      <patternFill patternType="solid">
        <fgColor rgb="FF134E4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E0F2F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7" fillId="0" borderId="0"/>
  </cellStyleXfs>
  <cellXfs count="12">
    <xf numFmtId="0" fontId="0" fillId="0" borderId="0" xfId="0" applyAlignment="1"/>
    <xf numFmtId="0" fontId="1" fillId="2" borderId="0" xfId="1" applyFont="1" applyFill="1" applyAlignment="1">
      <alignment horizontal="center" vertical="center" wrapText="1"/>
    </xf>
    <xf numFmtId="0" fontId="7" fillId="0" borderId="0" xfId="1" applyAlignment="1">
      <alignment vertical="center"/>
    </xf>
    <xf numFmtId="0" fontId="3" fillId="0" borderId="0" xfId="1" applyFont="1" applyAlignment="1">
      <alignment vertical="top" wrapText="1"/>
    </xf>
    <xf numFmtId="0" fontId="4" fillId="0" borderId="0" xfId="1" applyFont="1" applyAlignment="1">
      <alignment vertical="top" wrapText="1"/>
    </xf>
    <xf numFmtId="178" fontId="3" fillId="0" borderId="0" xfId="1" applyNumberFormat="1" applyFont="1" applyAlignment="1">
      <alignment vertical="top" wrapText="1"/>
    </xf>
    <xf numFmtId="0" fontId="5" fillId="4" borderId="0" xfId="1" applyFont="1" applyFill="1" applyAlignment="1">
      <alignment horizontal="center" vertical="center"/>
    </xf>
    <xf numFmtId="10" fontId="5" fillId="4" borderId="0" xfId="1" applyNumberFormat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5" borderId="0" xfId="1" applyFont="1" applyFill="1" applyAlignment="1">
      <alignment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2">
    <cellStyle name="Normal" xfId="1" xr:uid="{00000000-0005-0000-0000-000031000000}"/>
    <cellStyle name="常规" xfId="0" builtinId="0"/>
  </cellStyles>
  <dxfs count="26"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F3C7"/>
        </patternFill>
      </fill>
    </dxf>
    <dxf>
      <font>
        <b/>
      </font>
      <fill>
        <patternFill patternType="solid">
          <bgColor rgb="FFFECACA"/>
        </patternFill>
      </fill>
    </dxf>
    <dxf>
      <font>
        <b/>
      </font>
      <fill>
        <patternFill patternType="solid">
          <bgColor rgb="FFFECACA"/>
        </patternFill>
      </fill>
    </dxf>
    <dxf>
      <fill>
        <patternFill patternType="solid">
          <bgColor rgb="FFFED7AA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firstColumnStripe" dxfId="19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gRecordsTable" displayName="BugRecordsTable" ref="A4:S54">
  <tableColumns count="19">
    <tableColumn id="1" xr3:uid="{00000000-0010-0000-0000-000001000000}" name="Bug编号"/>
    <tableColumn id="2" xr3:uid="{00000000-0010-0000-0000-000002000000}" name="所属模块"/>
    <tableColumn id="3" xr3:uid="{00000000-0010-0000-0000-000003000000}" name="Bug标题"/>
    <tableColumn id="4" xr3:uid="{00000000-0010-0000-0000-000004000000}" name="严重程度"/>
    <tableColumn id="5" xr3:uid="{00000000-0010-0000-0000-000005000000}" name="优先级"/>
    <tableColumn id="6" xr3:uid="{00000000-0010-0000-0000-000006000000}" name="发现版本"/>
    <tableColumn id="7" xr3:uid="{00000000-0010-0000-0000-000007000000}" name="测试环境"/>
    <tableColumn id="8" xr3:uid="{00000000-0010-0000-0000-000008000000}" name="前置条件"/>
    <tableColumn id="9" xr3:uid="{00000000-0010-0000-0000-000009000000}" name="复现步骤"/>
    <tableColumn id="10" xr3:uid="{00000000-0010-0000-0000-00000A000000}" name="预期结果"/>
    <tableColumn id="11" xr3:uid="{00000000-0010-0000-0000-00000B000000}" name="实际结果"/>
    <tableColumn id="12" xr3:uid="{00000000-0010-0000-0000-00000C000000}" name="接口表现/证据"/>
    <tableColumn id="13" xr3:uid="{00000000-0010-0000-0000-00000D000000}" name="初步定位"/>
    <tableColumn id="14" xr3:uid="{00000000-0010-0000-0000-00000E000000}" name="处理人"/>
    <tableColumn id="15" xr3:uid="{00000000-0010-0000-0000-00000F000000}" name="当前状态"/>
    <tableColumn id="16" xr3:uid="{00000000-0010-0000-0000-000010000000}" name="关联用例ID"/>
    <tableColumn id="17" xr3:uid="{00000000-0010-0000-0000-000011000000}" name="发现日期"/>
    <tableColumn id="18" xr3:uid="{00000000-0010-0000-0000-000012000000}" name="关闭日期"/>
    <tableColumn id="19" xr3:uid="{00000000-0010-0000-0000-000013000000}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gressionTable" displayName="RegressionTable" ref="A3:K33">
  <tableColumns count="11">
    <tableColumn id="1" xr3:uid="{00000000-0010-0000-0100-000001000000}" name="回归编号"/>
    <tableColumn id="2" xr3:uid="{00000000-0010-0000-0100-000002000000}" name="Bug编号"/>
    <tableColumn id="3" xr3:uid="{00000000-0010-0000-0100-000003000000}" name="修复版本"/>
    <tableColumn id="4" xr3:uid="{00000000-0010-0000-0100-000004000000}" name="修复说明"/>
    <tableColumn id="5" xr3:uid="{00000000-0010-0000-0100-000005000000}" name="回归步骤"/>
    <tableColumn id="6" xr3:uid="{00000000-0010-0000-0100-000006000000}" name="预期结果"/>
    <tableColumn id="7" xr3:uid="{00000000-0010-0000-0100-000007000000}" name="实际结果"/>
    <tableColumn id="8" xr3:uid="{00000000-0010-0000-0100-000008000000}" name="回归结论"/>
    <tableColumn id="9" xr3:uid="{00000000-0010-0000-0100-000009000000}" name="回归人"/>
    <tableColumn id="10" xr3:uid="{00000000-0010-0000-0100-00000A000000}" name="回归日期"/>
    <tableColumn id="11" xr3:uid="{00000000-0010-0000-0100-00000B000000}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4"/>
  <sheetViews>
    <sheetView tabSelected="1" topLeftCell="M6" workbookViewId="0">
      <selection activeCell="M10" sqref="M10"/>
    </sheetView>
  </sheetViews>
  <sheetFormatPr defaultColWidth="9" defaultRowHeight="13.5"/>
  <cols>
    <col min="1" max="1" width="12" customWidth="1"/>
    <col min="2" max="2" width="16" customWidth="1"/>
    <col min="3" max="3" width="34" customWidth="1"/>
    <col min="4" max="5" width="10" customWidth="1"/>
    <col min="6" max="6" width="12" customWidth="1"/>
    <col min="7" max="7" width="26" customWidth="1"/>
    <col min="8" max="8" width="28" customWidth="1"/>
    <col min="9" max="9" width="38" customWidth="1"/>
    <col min="10" max="11" width="36" customWidth="1"/>
    <col min="12" max="12" width="38" customWidth="1"/>
    <col min="13" max="13" width="40" customWidth="1"/>
    <col min="14" max="15" width="12" customWidth="1"/>
    <col min="16" max="18" width="14" customWidth="1"/>
    <col min="19" max="19" width="30" customWidth="1"/>
  </cols>
  <sheetData>
    <row r="1" spans="1:19" ht="30" customHeight="1">
      <c r="A1" s="8" t="s">
        <v>0</v>
      </c>
      <c r="B1" s="8" t="s">
        <v>1</v>
      </c>
      <c r="C1" s="8" t="s">
        <v>1</v>
      </c>
      <c r="D1" s="8" t="s">
        <v>1</v>
      </c>
      <c r="E1" s="8" t="s">
        <v>1</v>
      </c>
      <c r="F1" s="8" t="s">
        <v>1</v>
      </c>
      <c r="G1" s="8" t="s">
        <v>1</v>
      </c>
      <c r="H1" s="8" t="s">
        <v>1</v>
      </c>
      <c r="I1" s="8" t="s">
        <v>1</v>
      </c>
      <c r="J1" s="8" t="s">
        <v>1</v>
      </c>
      <c r="K1" s="8" t="s">
        <v>1</v>
      </c>
      <c r="L1" s="8" t="s">
        <v>1</v>
      </c>
      <c r="M1" s="8" t="s">
        <v>1</v>
      </c>
      <c r="N1" s="8" t="s">
        <v>1</v>
      </c>
      <c r="O1" s="8" t="s">
        <v>1</v>
      </c>
      <c r="P1" s="8" t="s">
        <v>1</v>
      </c>
      <c r="Q1" s="8" t="s">
        <v>1</v>
      </c>
      <c r="R1" s="8" t="s">
        <v>1</v>
      </c>
      <c r="S1" s="8" t="s">
        <v>1</v>
      </c>
    </row>
    <row r="2" spans="1:19" ht="24" customHeight="1">
      <c r="A2" s="9" t="s">
        <v>2</v>
      </c>
      <c r="B2" s="9" t="s">
        <v>1</v>
      </c>
      <c r="C2" s="9" t="s">
        <v>1</v>
      </c>
      <c r="D2" s="9" t="s">
        <v>1</v>
      </c>
      <c r="E2" s="9" t="s">
        <v>1</v>
      </c>
      <c r="F2" s="9" t="s">
        <v>1</v>
      </c>
      <c r="G2" s="9" t="s">
        <v>1</v>
      </c>
      <c r="H2" s="9" t="s">
        <v>1</v>
      </c>
      <c r="I2" s="9" t="s">
        <v>1</v>
      </c>
      <c r="J2" s="9" t="s">
        <v>1</v>
      </c>
      <c r="K2" s="9" t="s">
        <v>1</v>
      </c>
      <c r="L2" s="9" t="s">
        <v>1</v>
      </c>
      <c r="M2" s="9" t="s">
        <v>1</v>
      </c>
      <c r="N2" s="9" t="s">
        <v>1</v>
      </c>
      <c r="O2" s="9" t="s">
        <v>1</v>
      </c>
      <c r="P2" s="9" t="s">
        <v>1</v>
      </c>
      <c r="Q2" s="9" t="s">
        <v>1</v>
      </c>
      <c r="R2" s="9" t="s">
        <v>1</v>
      </c>
      <c r="S2" s="9" t="s">
        <v>1</v>
      </c>
    </row>
    <row r="4" spans="1:19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  <c r="P4" s="1" t="s">
        <v>18</v>
      </c>
      <c r="Q4" s="1" t="s">
        <v>19</v>
      </c>
      <c r="R4" s="1" t="s">
        <v>20</v>
      </c>
      <c r="S4" s="1" t="s">
        <v>21</v>
      </c>
    </row>
    <row r="5" spans="1:19" ht="64.05" customHeight="1">
      <c r="A5" s="3" t="s">
        <v>22</v>
      </c>
      <c r="B5" s="3" t="s">
        <v>23</v>
      </c>
      <c r="C5" s="3" t="s">
        <v>24</v>
      </c>
      <c r="D5" s="3" t="s">
        <v>25</v>
      </c>
      <c r="E5" s="3" t="s">
        <v>26</v>
      </c>
      <c r="F5" s="3" t="s">
        <v>88</v>
      </c>
      <c r="G5" s="3" t="s">
        <v>87</v>
      </c>
      <c r="H5" s="3" t="s">
        <v>89</v>
      </c>
      <c r="I5" s="3" t="s">
        <v>27</v>
      </c>
      <c r="J5" s="3" t="s">
        <v>28</v>
      </c>
      <c r="K5" s="3" t="s">
        <v>29</v>
      </c>
      <c r="L5" s="3" t="s">
        <v>30</v>
      </c>
      <c r="M5" s="3" t="s">
        <v>31</v>
      </c>
      <c r="N5" s="4" t="s">
        <v>32</v>
      </c>
      <c r="O5" s="4" t="s">
        <v>33</v>
      </c>
      <c r="P5" s="3" t="s">
        <v>1</v>
      </c>
      <c r="Q5" s="5">
        <v>46207.6628935185</v>
      </c>
      <c r="R5" s="5">
        <v>20260704</v>
      </c>
      <c r="S5" s="4" t="s">
        <v>34</v>
      </c>
    </row>
    <row r="6" spans="1:19" ht="72" customHeight="1">
      <c r="A6" s="10" t="s">
        <v>79</v>
      </c>
      <c r="B6" s="10" t="s">
        <v>71</v>
      </c>
      <c r="C6" s="3" t="s">
        <v>80</v>
      </c>
      <c r="D6" s="3" t="s">
        <v>45</v>
      </c>
      <c r="E6" s="3" t="s">
        <v>26</v>
      </c>
      <c r="F6" s="3" t="s">
        <v>88</v>
      </c>
      <c r="G6" s="3" t="s">
        <v>87</v>
      </c>
      <c r="H6" s="3" t="s">
        <v>89</v>
      </c>
      <c r="I6" s="3" t="s">
        <v>81</v>
      </c>
      <c r="J6" s="3" t="s">
        <v>82</v>
      </c>
      <c r="K6" s="3" t="s">
        <v>83</v>
      </c>
      <c r="L6" s="3" t="s">
        <v>90</v>
      </c>
      <c r="M6" s="3" t="s">
        <v>84</v>
      </c>
      <c r="N6" s="3" t="s">
        <v>85</v>
      </c>
      <c r="O6" s="3" t="s">
        <v>86</v>
      </c>
      <c r="P6" s="3"/>
      <c r="Q6" s="5"/>
      <c r="R6" s="5"/>
      <c r="S6" s="3"/>
    </row>
    <row r="7" spans="1:19" ht="72" customHeight="1">
      <c r="A7" s="11" t="s">
        <v>91</v>
      </c>
      <c r="B7" s="11" t="s">
        <v>92</v>
      </c>
      <c r="C7" s="3" t="s">
        <v>93</v>
      </c>
      <c r="D7" s="3" t="s">
        <v>25</v>
      </c>
      <c r="E7" s="3" t="s">
        <v>26</v>
      </c>
      <c r="F7" s="3" t="s">
        <v>88</v>
      </c>
      <c r="G7" s="3" t="s">
        <v>87</v>
      </c>
      <c r="H7" s="3" t="s">
        <v>94</v>
      </c>
      <c r="I7" s="3" t="s">
        <v>95</v>
      </c>
      <c r="J7" s="3" t="s">
        <v>96</v>
      </c>
      <c r="K7" s="3" t="s">
        <v>97</v>
      </c>
      <c r="L7" s="3"/>
      <c r="M7" s="3" t="s">
        <v>98</v>
      </c>
      <c r="N7" s="3" t="s">
        <v>85</v>
      </c>
      <c r="O7" s="3" t="s">
        <v>33</v>
      </c>
      <c r="P7" s="3"/>
      <c r="Q7" s="5"/>
      <c r="R7" s="5"/>
      <c r="S7" s="3"/>
    </row>
    <row r="8" spans="1:19" ht="72" customHeight="1">
      <c r="A8" s="11" t="s">
        <v>99</v>
      </c>
      <c r="B8" s="11" t="s">
        <v>100</v>
      </c>
      <c r="C8" s="3" t="s">
        <v>101</v>
      </c>
      <c r="D8" s="3" t="s">
        <v>25</v>
      </c>
      <c r="E8" s="3" t="s">
        <v>69</v>
      </c>
      <c r="F8" s="3" t="s">
        <v>88</v>
      </c>
      <c r="G8" s="3" t="s">
        <v>87</v>
      </c>
      <c r="H8" s="3" t="s">
        <v>102</v>
      </c>
      <c r="I8" s="3" t="s">
        <v>103</v>
      </c>
      <c r="J8" s="3" t="s">
        <v>104</v>
      </c>
      <c r="K8" s="3" t="s">
        <v>105</v>
      </c>
      <c r="L8" s="3"/>
      <c r="M8" s="3" t="s">
        <v>106</v>
      </c>
      <c r="N8" s="3" t="s">
        <v>85</v>
      </c>
      <c r="O8" s="3" t="s">
        <v>86</v>
      </c>
      <c r="P8" s="3"/>
      <c r="Q8" s="5"/>
      <c r="R8" s="5"/>
      <c r="S8" s="3"/>
    </row>
    <row r="9" spans="1:19" ht="72" customHeight="1">
      <c r="A9" s="11" t="s">
        <v>107</v>
      </c>
      <c r="B9" s="11" t="s">
        <v>108</v>
      </c>
      <c r="C9" s="3" t="s">
        <v>109</v>
      </c>
      <c r="D9" s="3" t="s">
        <v>40</v>
      </c>
      <c r="E9" s="3" t="s">
        <v>69</v>
      </c>
      <c r="F9" s="3" t="s">
        <v>88</v>
      </c>
      <c r="G9" s="3" t="s">
        <v>87</v>
      </c>
      <c r="H9" s="3"/>
      <c r="I9" s="3"/>
      <c r="J9" s="3" t="s">
        <v>110</v>
      </c>
      <c r="K9" s="3" t="s">
        <v>111</v>
      </c>
      <c r="L9" s="3"/>
      <c r="M9" s="3" t="s">
        <v>112</v>
      </c>
      <c r="N9" s="3" t="s">
        <v>85</v>
      </c>
      <c r="O9" s="3" t="s">
        <v>86</v>
      </c>
      <c r="P9" s="3"/>
      <c r="Q9" s="5"/>
      <c r="R9" s="5"/>
      <c r="S9" s="3"/>
    </row>
    <row r="10" spans="1:19" ht="72" customHeight="1">
      <c r="A10" s="11" t="s">
        <v>113</v>
      </c>
      <c r="B10" s="11" t="s">
        <v>108</v>
      </c>
      <c r="C10" s="3" t="s">
        <v>115</v>
      </c>
      <c r="D10" s="3" t="s">
        <v>25</v>
      </c>
      <c r="E10" s="3" t="s">
        <v>26</v>
      </c>
      <c r="F10" s="3" t="s">
        <v>88</v>
      </c>
      <c r="G10" s="3" t="s">
        <v>87</v>
      </c>
      <c r="H10" s="3"/>
      <c r="I10" s="3"/>
      <c r="J10" s="3" t="s">
        <v>116</v>
      </c>
      <c r="K10" s="3" t="s">
        <v>117</v>
      </c>
      <c r="L10" s="3"/>
      <c r="M10" s="3" t="s">
        <v>118</v>
      </c>
      <c r="N10" s="3" t="s">
        <v>85</v>
      </c>
      <c r="O10" s="3" t="s">
        <v>114</v>
      </c>
      <c r="P10" s="3"/>
      <c r="Q10" s="5"/>
      <c r="R10" s="5"/>
      <c r="S10" s="3"/>
    </row>
    <row r="11" spans="1:19" ht="72" customHeight="1">
      <c r="A11" s="11"/>
      <c r="B11" s="11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5"/>
      <c r="R11" s="5"/>
      <c r="S11" s="3"/>
    </row>
    <row r="12" spans="1:19" ht="72" customHeight="1">
      <c r="A12" s="11"/>
      <c r="B12" s="11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5"/>
      <c r="R12" s="5"/>
      <c r="S12" s="3"/>
    </row>
    <row r="13" spans="1:19" ht="72" customHeight="1">
      <c r="A13" s="11"/>
      <c r="B13" s="11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5"/>
      <c r="R13" s="5"/>
      <c r="S13" s="3"/>
    </row>
    <row r="14" spans="1:19" ht="72" customHeight="1">
      <c r="A14" s="11"/>
      <c r="B14" s="11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5"/>
      <c r="R14" s="5"/>
      <c r="S14" s="3"/>
    </row>
    <row r="15" spans="1:19" ht="72" customHeight="1">
      <c r="A15" s="11"/>
      <c r="B15" s="11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5"/>
      <c r="R15" s="5"/>
      <c r="S15" s="3"/>
    </row>
    <row r="16" spans="1:19" ht="72" customHeight="1">
      <c r="A16" s="11"/>
      <c r="B16" s="11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5"/>
      <c r="R16" s="5"/>
      <c r="S16" s="3"/>
    </row>
    <row r="17" spans="1:19" ht="72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5"/>
      <c r="R17" s="5"/>
      <c r="S17" s="3"/>
    </row>
    <row r="18" spans="1:19" ht="7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5"/>
      <c r="R18" s="5"/>
      <c r="S18" s="3"/>
    </row>
    <row r="19" spans="1:19" ht="7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5"/>
      <c r="R19" s="5"/>
      <c r="S19" s="3"/>
    </row>
    <row r="20" spans="1:19" ht="7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5"/>
      <c r="R20" s="5"/>
      <c r="S20" s="3"/>
    </row>
    <row r="21" spans="1:19" ht="7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5"/>
      <c r="R21" s="5"/>
      <c r="S21" s="3"/>
    </row>
    <row r="22" spans="1:19" ht="7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5"/>
      <c r="R22" s="5"/>
      <c r="S22" s="3"/>
    </row>
    <row r="23" spans="1:19" ht="7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5"/>
      <c r="R23" s="5"/>
      <c r="S23" s="3"/>
    </row>
    <row r="24" spans="1:19" ht="7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5"/>
      <c r="R24" s="5"/>
      <c r="S24" s="3"/>
    </row>
    <row r="25" spans="1:19" ht="7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5"/>
      <c r="R25" s="5"/>
      <c r="S25" s="3"/>
    </row>
    <row r="26" spans="1:19" ht="7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5"/>
      <c r="R26" s="5"/>
      <c r="S26" s="3"/>
    </row>
    <row r="27" spans="1:19" ht="72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5"/>
      <c r="R27" s="5"/>
      <c r="S27" s="3"/>
    </row>
    <row r="28" spans="1:19" ht="72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5"/>
      <c r="R28" s="5"/>
      <c r="S28" s="3"/>
    </row>
    <row r="29" spans="1:19" ht="72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5"/>
      <c r="R29" s="5"/>
      <c r="S29" s="3"/>
    </row>
    <row r="30" spans="1:19" ht="72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5"/>
      <c r="R30" s="5"/>
      <c r="S30" s="3"/>
    </row>
    <row r="31" spans="1:19" ht="72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5"/>
      <c r="R31" s="5"/>
      <c r="S31" s="3"/>
    </row>
    <row r="32" spans="1:19" ht="72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5"/>
      <c r="R32" s="5"/>
      <c r="S32" s="3"/>
    </row>
    <row r="33" spans="1:19" ht="72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5"/>
      <c r="R33" s="5"/>
      <c r="S33" s="3"/>
    </row>
    <row r="34" spans="1:19" ht="72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5"/>
      <c r="R34" s="5"/>
      <c r="S34" s="3"/>
    </row>
    <row r="35" spans="1:19" ht="7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5"/>
      <c r="R35" s="5"/>
      <c r="S35" s="3"/>
    </row>
    <row r="36" spans="1:19" ht="7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5"/>
      <c r="R36" s="5"/>
      <c r="S36" s="3"/>
    </row>
    <row r="37" spans="1:19" ht="7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5"/>
      <c r="R37" s="5"/>
      <c r="S37" s="3"/>
    </row>
    <row r="38" spans="1:19" ht="7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5"/>
      <c r="R38" s="5"/>
      <c r="S38" s="3"/>
    </row>
    <row r="39" spans="1:19" ht="7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5"/>
      <c r="R39" s="5"/>
      <c r="S39" s="3"/>
    </row>
    <row r="40" spans="1:19" ht="7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5"/>
      <c r="R40" s="5"/>
      <c r="S40" s="3"/>
    </row>
    <row r="41" spans="1:19" ht="7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5"/>
      <c r="R41" s="5"/>
      <c r="S41" s="3"/>
    </row>
    <row r="42" spans="1:19" ht="7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5"/>
      <c r="R42" s="5"/>
      <c r="S42" s="3"/>
    </row>
    <row r="43" spans="1:19" ht="7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5"/>
      <c r="R43" s="5"/>
      <c r="S43" s="3"/>
    </row>
    <row r="44" spans="1:19" ht="7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5"/>
      <c r="R44" s="5"/>
      <c r="S44" s="3"/>
    </row>
    <row r="45" spans="1:19" ht="7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5"/>
      <c r="R45" s="5"/>
      <c r="S45" s="3"/>
    </row>
    <row r="46" spans="1:19" ht="7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5"/>
      <c r="R46" s="5"/>
      <c r="S46" s="3"/>
    </row>
    <row r="47" spans="1:19" ht="7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5"/>
      <c r="R47" s="5"/>
      <c r="S47" s="3"/>
    </row>
    <row r="48" spans="1:19" ht="7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5"/>
      <c r="R48" s="5"/>
      <c r="S48" s="3"/>
    </row>
    <row r="49" spans="1:19" ht="7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5"/>
      <c r="R49" s="5"/>
      <c r="S49" s="3"/>
    </row>
    <row r="50" spans="1:19" ht="7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5"/>
      <c r="R50" s="5"/>
      <c r="S50" s="3"/>
    </row>
    <row r="51" spans="1:19" ht="7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5"/>
      <c r="R51" s="5"/>
      <c r="S51" s="3"/>
    </row>
    <row r="52" spans="1:19" ht="7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5"/>
      <c r="R52" s="5"/>
      <c r="S52" s="3"/>
    </row>
    <row r="53" spans="1:19" ht="7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5"/>
      <c r="R53" s="5"/>
      <c r="S53" s="3"/>
    </row>
    <row r="54" spans="1:19" ht="7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5"/>
      <c r="R54" s="5"/>
      <c r="S54" s="3"/>
    </row>
  </sheetData>
  <mergeCells count="2">
    <mergeCell ref="A1:S1"/>
    <mergeCell ref="A2:S2"/>
  </mergeCells>
  <phoneticPr fontId="9" type="noConversion"/>
  <conditionalFormatting sqref="D5:D54">
    <cfRule type="expression" dxfId="8" priority="4">
      <formula>$D5="高"</formula>
    </cfRule>
    <cfRule type="expression" dxfId="7" priority="5">
      <formula>$D5="阻塞"</formula>
    </cfRule>
  </conditionalFormatting>
  <conditionalFormatting sqref="E5:E54">
    <cfRule type="expression" dxfId="6" priority="6">
      <formula>$E5="P0"</formula>
    </cfRule>
    <cfRule type="expression" dxfId="5" priority="7">
      <formula>$E5="P1"</formula>
    </cfRule>
  </conditionalFormatting>
  <conditionalFormatting sqref="O5:O54">
    <cfRule type="expression" dxfId="4" priority="1">
      <formula>$O5="待修复"</formula>
    </cfRule>
    <cfRule type="expression" dxfId="3" priority="2">
      <formula>$O5="已关闭"</formula>
    </cfRule>
    <cfRule type="expression" dxfId="2" priority="3">
      <formula>$O5="重新打开"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xr:uid="{00000000-0002-0000-0000-000000000000}">
          <x14:formula1>
            <xm:f>下拉选项!$D$2:$D$11</xm:f>
          </x14:formula1>
          <xm:sqref>B5 B17:B54</xm:sqref>
        </x14:dataValidation>
        <x14:dataValidation type="list" xr:uid="{00000000-0002-0000-0000-000001000000}">
          <x14:formula1>
            <xm:f>下拉选项!$A$2:$A$5</xm:f>
          </x14:formula1>
          <xm:sqref>D5:D54</xm:sqref>
        </x14:dataValidation>
        <x14:dataValidation type="list" xr:uid="{00000000-0002-0000-0000-000002000000}">
          <x14:formula1>
            <xm:f>下拉选项!$B$2:$B$5</xm:f>
          </x14:formula1>
          <xm:sqref>E5:E54</xm:sqref>
        </x14:dataValidation>
        <x14:dataValidation type="list" xr:uid="{00000000-0002-0000-0000-000003000000}">
          <x14:formula1>
            <xm:f>下拉选项!$C$2:$C$7</xm:f>
          </x14:formula1>
          <xm:sqref>O5:O54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workbookViewId="0">
      <selection sqref="A1:H1"/>
    </sheetView>
  </sheetViews>
  <sheetFormatPr defaultColWidth="9" defaultRowHeight="13.5"/>
  <cols>
    <col min="1" max="8" width="15" customWidth="1"/>
  </cols>
  <sheetData>
    <row r="1" spans="1:8" ht="30" customHeight="1">
      <c r="A1" s="8" t="s">
        <v>35</v>
      </c>
      <c r="B1" s="8" t="s">
        <v>1</v>
      </c>
      <c r="C1" s="8" t="s">
        <v>1</v>
      </c>
      <c r="D1" s="8" t="s">
        <v>1</v>
      </c>
      <c r="E1" s="8" t="s">
        <v>1</v>
      </c>
      <c r="F1" s="8" t="s">
        <v>1</v>
      </c>
      <c r="G1" s="8" t="s">
        <v>1</v>
      </c>
      <c r="H1" s="8" t="s">
        <v>1</v>
      </c>
    </row>
    <row r="3" spans="1:8">
      <c r="A3" s="1" t="s">
        <v>36</v>
      </c>
      <c r="B3" s="1" t="s">
        <v>37</v>
      </c>
      <c r="C3" s="1" t="s">
        <v>1</v>
      </c>
      <c r="D3" s="1" t="s">
        <v>6</v>
      </c>
      <c r="E3" s="1" t="s">
        <v>37</v>
      </c>
      <c r="F3" s="1" t="s">
        <v>1</v>
      </c>
      <c r="G3" s="1" t="s">
        <v>38</v>
      </c>
      <c r="H3" s="1" t="s">
        <v>37</v>
      </c>
    </row>
    <row r="4" spans="1:8">
      <c r="A4" s="6" t="s">
        <v>39</v>
      </c>
      <c r="B4" s="6">
        <f>COUNTA(Bug记录!$C$5:$C$54)</f>
        <v>6</v>
      </c>
      <c r="C4" s="2" t="s">
        <v>1</v>
      </c>
      <c r="D4" s="6" t="s">
        <v>40</v>
      </c>
      <c r="E4" s="6">
        <f>COUNTIFS(Bug记录!$C$5:$C$54,"*",Bug记录!$D$5:$D$54,"低")</f>
        <v>1</v>
      </c>
      <c r="F4" s="2" t="s">
        <v>1</v>
      </c>
      <c r="G4" s="6" t="s">
        <v>41</v>
      </c>
      <c r="H4" s="6">
        <f>COUNTIFS(Bug记录!$C$5:$C$54,"*",Bug记录!$O$5:$O$54,"待修复")</f>
        <v>0</v>
      </c>
    </row>
    <row r="5" spans="1:8">
      <c r="A5" s="6" t="s">
        <v>42</v>
      </c>
      <c r="B5" s="6">
        <f>COUNTIFS(Bug记录!$C$5:$C$54,"*",Bug记录!$E$5:$E$54,"P0")</f>
        <v>0</v>
      </c>
      <c r="C5" s="2" t="s">
        <v>1</v>
      </c>
      <c r="D5" s="6" t="s">
        <v>25</v>
      </c>
      <c r="E5" s="6">
        <f>COUNTIFS(Bug记录!$C$5:$C$54,"*",Bug记录!$D$5:$D$54,"中")</f>
        <v>4</v>
      </c>
      <c r="F5" s="2" t="s">
        <v>1</v>
      </c>
      <c r="G5" s="6" t="s">
        <v>43</v>
      </c>
      <c r="H5" s="6">
        <f>COUNTIFS(Bug记录!$C$5:$C$54,"*",Bug记录!$O$5:$O$54,"修复中")</f>
        <v>1</v>
      </c>
    </row>
    <row r="6" spans="1:8">
      <c r="A6" s="6" t="s">
        <v>44</v>
      </c>
      <c r="B6" s="6">
        <f>COUNTIFS(Bug记录!$C$5:$C$54,"*",Bug记录!$E$5:$E$54,"P1")</f>
        <v>4</v>
      </c>
      <c r="C6" s="2" t="s">
        <v>1</v>
      </c>
      <c r="D6" s="6" t="s">
        <v>45</v>
      </c>
      <c r="E6" s="6">
        <f>COUNTIFS(Bug记录!$C$5:$C$54,"*",Bug记录!$D$5:$D$54,"高")</f>
        <v>1</v>
      </c>
      <c r="F6" s="2" t="s">
        <v>1</v>
      </c>
      <c r="G6" s="6" t="s">
        <v>33</v>
      </c>
      <c r="H6" s="6">
        <f>COUNTIFS(Bug记录!$C$5:$C$54,"*",Bug记录!$O$5:$O$54,"已修复")</f>
        <v>5</v>
      </c>
    </row>
    <row r="7" spans="1:8">
      <c r="A7" s="6" t="s">
        <v>46</v>
      </c>
      <c r="B7" s="6">
        <f>COUNTIFS(Bug记录!$C$5:$C$54,"*",Bug记录!$E$5:$E$54,"P2")</f>
        <v>2</v>
      </c>
      <c r="C7" s="2" t="s">
        <v>1</v>
      </c>
      <c r="D7" s="6" t="s">
        <v>47</v>
      </c>
      <c r="E7" s="6">
        <f>COUNTIFS(Bug记录!$C$5:$C$54,"*",Bug记录!$D$5:$D$54,"阻塞")</f>
        <v>0</v>
      </c>
      <c r="F7" s="2" t="s">
        <v>1</v>
      </c>
      <c r="G7" s="6" t="s">
        <v>48</v>
      </c>
      <c r="H7" s="6">
        <f>COUNTIFS(Bug记录!$C$5:$C$54,"*",Bug记录!$O$5:$O$54,"已关闭")</f>
        <v>0</v>
      </c>
    </row>
    <row r="8" spans="1:8">
      <c r="A8" s="6" t="s">
        <v>49</v>
      </c>
      <c r="B8" s="6">
        <f>COUNTIFS(Bug记录!$C$5:$C$54,"*",Bug记录!$E$5:$E$54,"P3")</f>
        <v>0</v>
      </c>
      <c r="C8" s="2" t="s">
        <v>1</v>
      </c>
      <c r="D8" s="6" t="s">
        <v>1</v>
      </c>
      <c r="E8" s="6" t="s">
        <v>1</v>
      </c>
      <c r="F8" s="2" t="s">
        <v>1</v>
      </c>
      <c r="G8" s="6" t="s">
        <v>50</v>
      </c>
      <c r="H8" s="6">
        <f>COUNTIFS(Bug记录!$C$5:$C$54,"*",Bug记录!$O$5:$O$54,"重新打开")</f>
        <v>0</v>
      </c>
    </row>
    <row r="9" spans="1:8">
      <c r="A9" s="6" t="s">
        <v>51</v>
      </c>
      <c r="B9" s="7">
        <f>IF(B4=0,0,H7/B4)</f>
        <v>0</v>
      </c>
      <c r="C9" s="2" t="s">
        <v>1</v>
      </c>
      <c r="D9" s="2" t="s">
        <v>1</v>
      </c>
      <c r="E9" s="2" t="s">
        <v>1</v>
      </c>
      <c r="F9" s="2" t="s">
        <v>1</v>
      </c>
      <c r="G9" s="6" t="s">
        <v>52</v>
      </c>
      <c r="H9" s="6">
        <f>B4-H7</f>
        <v>6</v>
      </c>
    </row>
  </sheetData>
  <mergeCells count="1">
    <mergeCell ref="A1:H1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3"/>
  <sheetViews>
    <sheetView workbookViewId="0">
      <selection activeCell="E7" sqref="E7"/>
    </sheetView>
  </sheetViews>
  <sheetFormatPr defaultColWidth="9" defaultRowHeight="13.5"/>
  <cols>
    <col min="1" max="3" width="12" customWidth="1"/>
    <col min="4" max="4" width="30" customWidth="1"/>
    <col min="5" max="5" width="38" customWidth="1"/>
    <col min="6" max="7" width="32" customWidth="1"/>
    <col min="8" max="9" width="12" customWidth="1"/>
    <col min="10" max="10" width="14" customWidth="1"/>
    <col min="11" max="11" width="28" customWidth="1"/>
  </cols>
  <sheetData>
    <row r="1" spans="1:11" ht="30" customHeight="1">
      <c r="A1" s="8" t="s">
        <v>53</v>
      </c>
      <c r="B1" s="8" t="s">
        <v>1</v>
      </c>
      <c r="C1" s="8" t="s">
        <v>1</v>
      </c>
      <c r="D1" s="8" t="s">
        <v>1</v>
      </c>
      <c r="E1" s="8" t="s">
        <v>1</v>
      </c>
      <c r="F1" s="8" t="s">
        <v>1</v>
      </c>
      <c r="G1" s="8" t="s">
        <v>1</v>
      </c>
      <c r="H1" s="8" t="s">
        <v>1</v>
      </c>
      <c r="I1" s="8" t="s">
        <v>1</v>
      </c>
      <c r="J1" s="8" t="s">
        <v>1</v>
      </c>
      <c r="K1" s="8" t="s">
        <v>1</v>
      </c>
    </row>
    <row r="3" spans="1:11">
      <c r="A3" s="1" t="s">
        <v>54</v>
      </c>
      <c r="B3" s="1" t="s">
        <v>3</v>
      </c>
      <c r="C3" s="1" t="s">
        <v>55</v>
      </c>
      <c r="D3" s="1" t="s">
        <v>56</v>
      </c>
      <c r="E3" s="1" t="s">
        <v>57</v>
      </c>
      <c r="F3" s="1" t="s">
        <v>12</v>
      </c>
      <c r="G3" s="1" t="s">
        <v>13</v>
      </c>
      <c r="H3" s="1" t="s">
        <v>58</v>
      </c>
      <c r="I3" s="1" t="s">
        <v>59</v>
      </c>
      <c r="J3" s="1" t="s">
        <v>60</v>
      </c>
      <c r="K3" s="1" t="s">
        <v>21</v>
      </c>
    </row>
    <row r="4" spans="1:11" ht="60" customHeight="1">
      <c r="A4" s="3" t="s">
        <v>61</v>
      </c>
      <c r="B4" s="3" t="s">
        <v>22</v>
      </c>
      <c r="C4" s="3" t="s">
        <v>1</v>
      </c>
      <c r="D4" s="4" t="s">
        <v>48</v>
      </c>
      <c r="E4" s="3" t="s">
        <v>62</v>
      </c>
      <c r="F4" s="3" t="s">
        <v>63</v>
      </c>
      <c r="G4" s="4" t="s">
        <v>64</v>
      </c>
      <c r="H4" s="4" t="s">
        <v>65</v>
      </c>
      <c r="I4" s="4" t="s">
        <v>32</v>
      </c>
      <c r="J4" s="5">
        <v>20260701</v>
      </c>
      <c r="K4" s="3" t="s">
        <v>1</v>
      </c>
    </row>
    <row r="5" spans="1:11" ht="60" customHeight="1">
      <c r="A5" s="3"/>
      <c r="B5" s="3"/>
      <c r="C5" s="3"/>
      <c r="D5" s="3"/>
      <c r="E5" s="3"/>
      <c r="F5" s="3"/>
      <c r="G5" s="3"/>
      <c r="H5" s="3"/>
      <c r="I5" s="3"/>
      <c r="J5" s="5"/>
      <c r="K5" s="3"/>
    </row>
    <row r="6" spans="1:11" ht="60" customHeight="1">
      <c r="A6" s="3"/>
      <c r="B6" s="3"/>
      <c r="C6" s="3"/>
      <c r="D6" s="3"/>
      <c r="E6" s="3"/>
      <c r="F6" s="3"/>
      <c r="G6" s="3"/>
      <c r="H6" s="3"/>
      <c r="I6" s="3"/>
      <c r="J6" s="5"/>
      <c r="K6" s="3"/>
    </row>
    <row r="7" spans="1:11" ht="60" customHeight="1">
      <c r="A7" s="3"/>
      <c r="B7" s="3"/>
      <c r="C7" s="3"/>
      <c r="D7" s="3"/>
      <c r="E7" s="3"/>
      <c r="F7" s="3"/>
      <c r="G7" s="3"/>
      <c r="H7" s="3"/>
      <c r="I7" s="3"/>
      <c r="J7" s="5"/>
      <c r="K7" s="3"/>
    </row>
    <row r="8" spans="1:11" ht="60" customHeight="1">
      <c r="A8" s="3"/>
      <c r="B8" s="3"/>
      <c r="C8" s="3"/>
      <c r="D8" s="3"/>
      <c r="E8" s="3"/>
      <c r="F8" s="3"/>
      <c r="G8" s="3"/>
      <c r="H8" s="3"/>
      <c r="I8" s="3"/>
      <c r="J8" s="5"/>
      <c r="K8" s="3"/>
    </row>
    <row r="9" spans="1:11" ht="60" customHeight="1">
      <c r="A9" s="3"/>
      <c r="B9" s="3"/>
      <c r="C9" s="3"/>
      <c r="D9" s="3"/>
      <c r="E9" s="3"/>
      <c r="F9" s="3"/>
      <c r="G9" s="3"/>
      <c r="H9" s="3"/>
      <c r="I9" s="3"/>
      <c r="J9" s="5"/>
      <c r="K9" s="3"/>
    </row>
    <row r="10" spans="1:11" ht="60" customHeight="1">
      <c r="A10" s="3"/>
      <c r="B10" s="3"/>
      <c r="C10" s="3"/>
      <c r="D10" s="3"/>
      <c r="E10" s="3"/>
      <c r="F10" s="3"/>
      <c r="G10" s="3"/>
      <c r="H10" s="3"/>
      <c r="I10" s="3"/>
      <c r="J10" s="5"/>
      <c r="K10" s="3"/>
    </row>
    <row r="11" spans="1:11" ht="60" customHeight="1">
      <c r="A11" s="3"/>
      <c r="B11" s="3"/>
      <c r="C11" s="3"/>
      <c r="D11" s="3"/>
      <c r="E11" s="3"/>
      <c r="F11" s="3"/>
      <c r="G11" s="3"/>
      <c r="H11" s="3"/>
      <c r="I11" s="3"/>
      <c r="J11" s="5"/>
      <c r="K11" s="3"/>
    </row>
    <row r="12" spans="1:11" ht="60" customHeight="1">
      <c r="A12" s="3"/>
      <c r="B12" s="3"/>
      <c r="C12" s="3"/>
      <c r="D12" s="3"/>
      <c r="E12" s="3"/>
      <c r="F12" s="3"/>
      <c r="G12" s="3"/>
      <c r="H12" s="3"/>
      <c r="I12" s="3"/>
      <c r="J12" s="5"/>
      <c r="K12" s="3"/>
    </row>
    <row r="13" spans="1:11" ht="60" customHeight="1">
      <c r="A13" s="3"/>
      <c r="B13" s="3"/>
      <c r="C13" s="3"/>
      <c r="D13" s="3"/>
      <c r="E13" s="3"/>
      <c r="F13" s="3"/>
      <c r="G13" s="3"/>
      <c r="H13" s="3"/>
      <c r="I13" s="3"/>
      <c r="J13" s="5"/>
      <c r="K13" s="3"/>
    </row>
    <row r="14" spans="1:11" ht="60" customHeight="1">
      <c r="A14" s="3"/>
      <c r="B14" s="3"/>
      <c r="C14" s="3"/>
      <c r="D14" s="3"/>
      <c r="E14" s="3"/>
      <c r="F14" s="3"/>
      <c r="G14" s="3"/>
      <c r="H14" s="3"/>
      <c r="I14" s="3"/>
      <c r="J14" s="5"/>
      <c r="K14" s="3"/>
    </row>
    <row r="15" spans="1:11" ht="60" customHeight="1">
      <c r="A15" s="3"/>
      <c r="B15" s="3"/>
      <c r="C15" s="3"/>
      <c r="D15" s="3"/>
      <c r="E15" s="3"/>
      <c r="F15" s="3"/>
      <c r="G15" s="3"/>
      <c r="H15" s="3"/>
      <c r="I15" s="3"/>
      <c r="J15" s="5"/>
      <c r="K15" s="3"/>
    </row>
    <row r="16" spans="1:11" ht="60" customHeight="1">
      <c r="A16" s="3"/>
      <c r="B16" s="3"/>
      <c r="C16" s="3"/>
      <c r="D16" s="3"/>
      <c r="E16" s="3"/>
      <c r="F16" s="3"/>
      <c r="G16" s="3"/>
      <c r="H16" s="3"/>
      <c r="I16" s="3"/>
      <c r="J16" s="5"/>
      <c r="K16" s="3"/>
    </row>
    <row r="17" spans="1:11" ht="60" customHeight="1">
      <c r="A17" s="3"/>
      <c r="B17" s="3"/>
      <c r="C17" s="3"/>
      <c r="D17" s="3"/>
      <c r="E17" s="3"/>
      <c r="F17" s="3"/>
      <c r="G17" s="3"/>
      <c r="H17" s="3"/>
      <c r="I17" s="3"/>
      <c r="J17" s="5"/>
      <c r="K17" s="3"/>
    </row>
    <row r="18" spans="1:11" ht="60" customHeight="1">
      <c r="A18" s="3"/>
      <c r="B18" s="3"/>
      <c r="C18" s="3"/>
      <c r="D18" s="3"/>
      <c r="E18" s="3"/>
      <c r="F18" s="3"/>
      <c r="G18" s="3"/>
      <c r="H18" s="3"/>
      <c r="I18" s="3"/>
      <c r="J18" s="5"/>
      <c r="K18" s="3"/>
    </row>
    <row r="19" spans="1:11" ht="60" customHeight="1">
      <c r="A19" s="3"/>
      <c r="B19" s="3"/>
      <c r="C19" s="3"/>
      <c r="D19" s="3"/>
      <c r="E19" s="3"/>
      <c r="F19" s="3"/>
      <c r="G19" s="3"/>
      <c r="H19" s="3"/>
      <c r="I19" s="3"/>
      <c r="J19" s="5"/>
      <c r="K19" s="3"/>
    </row>
    <row r="20" spans="1:11" ht="60" customHeight="1">
      <c r="A20" s="3"/>
      <c r="B20" s="3"/>
      <c r="C20" s="3"/>
      <c r="D20" s="3"/>
      <c r="E20" s="3"/>
      <c r="F20" s="3"/>
      <c r="G20" s="3"/>
      <c r="H20" s="3"/>
      <c r="I20" s="3"/>
      <c r="J20" s="5"/>
      <c r="K20" s="3"/>
    </row>
    <row r="21" spans="1:11" ht="60" customHeight="1">
      <c r="A21" s="3"/>
      <c r="B21" s="3"/>
      <c r="C21" s="3"/>
      <c r="D21" s="3"/>
      <c r="E21" s="3"/>
      <c r="F21" s="3"/>
      <c r="G21" s="3"/>
      <c r="H21" s="3"/>
      <c r="I21" s="3"/>
      <c r="J21" s="5"/>
      <c r="K21" s="3"/>
    </row>
    <row r="22" spans="1:11" ht="60" customHeight="1">
      <c r="A22" s="3"/>
      <c r="B22" s="3"/>
      <c r="C22" s="3"/>
      <c r="D22" s="3"/>
      <c r="E22" s="3"/>
      <c r="F22" s="3"/>
      <c r="G22" s="3"/>
      <c r="H22" s="3"/>
      <c r="I22" s="3"/>
      <c r="J22" s="5"/>
      <c r="K22" s="3"/>
    </row>
    <row r="23" spans="1:11" ht="60" customHeight="1">
      <c r="A23" s="3"/>
      <c r="B23" s="3"/>
      <c r="C23" s="3"/>
      <c r="D23" s="3"/>
      <c r="E23" s="3"/>
      <c r="F23" s="3"/>
      <c r="G23" s="3"/>
      <c r="H23" s="3"/>
      <c r="I23" s="3"/>
      <c r="J23" s="5"/>
      <c r="K23" s="3"/>
    </row>
    <row r="24" spans="1:11" ht="60" customHeight="1">
      <c r="A24" s="3"/>
      <c r="B24" s="3"/>
      <c r="C24" s="3"/>
      <c r="D24" s="3"/>
      <c r="E24" s="3"/>
      <c r="F24" s="3"/>
      <c r="G24" s="3"/>
      <c r="H24" s="3"/>
      <c r="I24" s="3"/>
      <c r="J24" s="5"/>
      <c r="K24" s="3"/>
    </row>
    <row r="25" spans="1:11" ht="60" customHeight="1">
      <c r="A25" s="3"/>
      <c r="B25" s="3"/>
      <c r="C25" s="3"/>
      <c r="D25" s="3"/>
      <c r="E25" s="3"/>
      <c r="F25" s="3"/>
      <c r="G25" s="3"/>
      <c r="H25" s="3"/>
      <c r="I25" s="3"/>
      <c r="J25" s="5"/>
      <c r="K25" s="3"/>
    </row>
    <row r="26" spans="1:11" ht="60" customHeight="1">
      <c r="A26" s="3"/>
      <c r="B26" s="3"/>
      <c r="C26" s="3"/>
      <c r="D26" s="3"/>
      <c r="E26" s="3"/>
      <c r="F26" s="3"/>
      <c r="G26" s="3"/>
      <c r="H26" s="3"/>
      <c r="I26" s="3"/>
      <c r="J26" s="5"/>
      <c r="K26" s="3"/>
    </row>
    <row r="27" spans="1:11" ht="60" customHeight="1">
      <c r="A27" s="3"/>
      <c r="B27" s="3"/>
      <c r="C27" s="3"/>
      <c r="D27" s="3"/>
      <c r="E27" s="3"/>
      <c r="F27" s="3"/>
      <c r="G27" s="3"/>
      <c r="H27" s="3"/>
      <c r="I27" s="3"/>
      <c r="J27" s="5"/>
      <c r="K27" s="3"/>
    </row>
    <row r="28" spans="1:11" ht="60" customHeight="1">
      <c r="A28" s="3"/>
      <c r="B28" s="3"/>
      <c r="C28" s="3"/>
      <c r="D28" s="3"/>
      <c r="E28" s="3"/>
      <c r="F28" s="3"/>
      <c r="G28" s="3"/>
      <c r="H28" s="3"/>
      <c r="I28" s="3"/>
      <c r="J28" s="5"/>
      <c r="K28" s="3"/>
    </row>
    <row r="29" spans="1:11" ht="60" customHeight="1">
      <c r="A29" s="3"/>
      <c r="B29" s="3"/>
      <c r="C29" s="3"/>
      <c r="D29" s="3"/>
      <c r="E29" s="3"/>
      <c r="F29" s="3"/>
      <c r="G29" s="3"/>
      <c r="H29" s="3"/>
      <c r="I29" s="3"/>
      <c r="J29" s="5"/>
      <c r="K29" s="3"/>
    </row>
    <row r="30" spans="1:11" ht="60" customHeight="1">
      <c r="A30" s="3"/>
      <c r="B30" s="3"/>
      <c r="C30" s="3"/>
      <c r="D30" s="3"/>
      <c r="E30" s="3"/>
      <c r="F30" s="3"/>
      <c r="G30" s="3"/>
      <c r="H30" s="3"/>
      <c r="I30" s="3"/>
      <c r="J30" s="5"/>
      <c r="K30" s="3"/>
    </row>
    <row r="31" spans="1:11" ht="60" customHeight="1">
      <c r="A31" s="3"/>
      <c r="B31" s="3"/>
      <c r="C31" s="3"/>
      <c r="D31" s="3"/>
      <c r="E31" s="3"/>
      <c r="F31" s="3"/>
      <c r="G31" s="3"/>
      <c r="H31" s="3"/>
      <c r="I31" s="3"/>
      <c r="J31" s="5"/>
      <c r="K31" s="3"/>
    </row>
    <row r="32" spans="1:11" ht="60" customHeight="1">
      <c r="A32" s="3"/>
      <c r="B32" s="3"/>
      <c r="C32" s="3"/>
      <c r="D32" s="3"/>
      <c r="E32" s="3"/>
      <c r="F32" s="3"/>
      <c r="G32" s="3"/>
      <c r="H32" s="3"/>
      <c r="I32" s="3"/>
      <c r="J32" s="5"/>
      <c r="K32" s="3"/>
    </row>
    <row r="33" spans="1:11" ht="60" customHeight="1">
      <c r="A33" s="3"/>
      <c r="B33" s="3"/>
      <c r="C33" s="3"/>
      <c r="D33" s="3"/>
      <c r="E33" s="3"/>
      <c r="F33" s="3"/>
      <c r="G33" s="3"/>
      <c r="H33" s="3"/>
      <c r="I33" s="3"/>
      <c r="J33" s="5"/>
      <c r="K33" s="3"/>
    </row>
  </sheetData>
  <mergeCells count="1">
    <mergeCell ref="A1:K1"/>
  </mergeCells>
  <phoneticPr fontId="9" type="noConversion"/>
  <conditionalFormatting sqref="H4:H33">
    <cfRule type="expression" dxfId="1" priority="1">
      <formula>$H4="通过"</formula>
    </cfRule>
    <cfRule type="expression" dxfId="0" priority="2">
      <formula>$H4="失败"</formula>
    </cfRule>
  </conditionalFormatting>
  <dataValidations count="1">
    <dataValidation type="list" sqref="H4:H33" xr:uid="{00000000-0002-0000-0200-000000000000}">
      <formula1>"未回归,通过,失败,阻塞"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1"/>
  <sheetViews>
    <sheetView workbookViewId="0"/>
  </sheetViews>
  <sheetFormatPr defaultColWidth="9" defaultRowHeight="13.5"/>
  <cols>
    <col min="1" max="1" width="7.86328125" customWidth="1"/>
    <col min="2" max="2" width="6" customWidth="1"/>
    <col min="3" max="3" width="7.86328125" customWidth="1"/>
    <col min="4" max="4" width="13.3984375" customWidth="1"/>
    <col min="5" max="5" width="6" customWidth="1"/>
  </cols>
  <sheetData>
    <row r="1" spans="1:5" ht="27">
      <c r="A1" s="1" t="s">
        <v>6</v>
      </c>
      <c r="B1" s="1" t="s">
        <v>7</v>
      </c>
      <c r="C1" s="1" t="s">
        <v>17</v>
      </c>
      <c r="D1" s="1" t="s">
        <v>4</v>
      </c>
      <c r="E1" s="1" t="s">
        <v>16</v>
      </c>
    </row>
    <row r="2" spans="1:5">
      <c r="A2" s="2" t="s">
        <v>40</v>
      </c>
      <c r="B2" s="2" t="s">
        <v>66</v>
      </c>
      <c r="C2" s="2" t="s">
        <v>41</v>
      </c>
      <c r="D2" s="2" t="s">
        <v>67</v>
      </c>
      <c r="E2" s="2" t="s">
        <v>1</v>
      </c>
    </row>
    <row r="3" spans="1:5">
      <c r="A3" s="2" t="s">
        <v>25</v>
      </c>
      <c r="B3" s="2" t="s">
        <v>26</v>
      </c>
      <c r="C3" s="2" t="s">
        <v>43</v>
      </c>
      <c r="D3" s="2" t="s">
        <v>68</v>
      </c>
      <c r="E3" s="2" t="s">
        <v>1</v>
      </c>
    </row>
    <row r="4" spans="1:5">
      <c r="A4" s="2" t="s">
        <v>45</v>
      </c>
      <c r="B4" s="2" t="s">
        <v>69</v>
      </c>
      <c r="C4" s="2" t="s">
        <v>33</v>
      </c>
      <c r="D4" s="2" t="s">
        <v>23</v>
      </c>
      <c r="E4" s="2" t="s">
        <v>1</v>
      </c>
    </row>
    <row r="5" spans="1:5">
      <c r="A5" s="2" t="s">
        <v>47</v>
      </c>
      <c r="B5" s="2" t="s">
        <v>70</v>
      </c>
      <c r="C5" s="2" t="s">
        <v>48</v>
      </c>
      <c r="D5" s="2" t="s">
        <v>71</v>
      </c>
      <c r="E5" s="2" t="s">
        <v>1</v>
      </c>
    </row>
    <row r="6" spans="1:5">
      <c r="A6" s="2" t="s">
        <v>1</v>
      </c>
      <c r="B6" s="2" t="s">
        <v>1</v>
      </c>
      <c r="C6" s="2" t="s">
        <v>72</v>
      </c>
      <c r="D6" s="2" t="s">
        <v>73</v>
      </c>
      <c r="E6" s="2" t="s">
        <v>1</v>
      </c>
    </row>
    <row r="7" spans="1:5">
      <c r="A7" s="2" t="s">
        <v>1</v>
      </c>
      <c r="B7" s="2" t="s">
        <v>1</v>
      </c>
      <c r="C7" s="2" t="s">
        <v>50</v>
      </c>
      <c r="D7" s="2" t="s">
        <v>74</v>
      </c>
      <c r="E7" s="2" t="s">
        <v>1</v>
      </c>
    </row>
    <row r="8" spans="1:5">
      <c r="A8" s="2" t="s">
        <v>1</v>
      </c>
      <c r="B8" s="2" t="s">
        <v>1</v>
      </c>
      <c r="C8" s="2" t="s">
        <v>1</v>
      </c>
      <c r="D8" s="2" t="s">
        <v>75</v>
      </c>
      <c r="E8" s="2" t="s">
        <v>1</v>
      </c>
    </row>
    <row r="9" spans="1:5">
      <c r="A9" s="2" t="s">
        <v>1</v>
      </c>
      <c r="B9" s="2" t="s">
        <v>1</v>
      </c>
      <c r="C9" s="2" t="s">
        <v>1</v>
      </c>
      <c r="D9" s="2" t="s">
        <v>76</v>
      </c>
      <c r="E9" s="2" t="s">
        <v>1</v>
      </c>
    </row>
    <row r="10" spans="1:5">
      <c r="A10" s="2" t="s">
        <v>1</v>
      </c>
      <c r="B10" s="2" t="s">
        <v>1</v>
      </c>
      <c r="C10" s="2" t="s">
        <v>1</v>
      </c>
      <c r="D10" s="2" t="s">
        <v>77</v>
      </c>
      <c r="E10" s="2" t="s">
        <v>1</v>
      </c>
    </row>
    <row r="11" spans="1:5">
      <c r="A11" s="2" t="s">
        <v>1</v>
      </c>
      <c r="B11" s="2" t="s">
        <v>1</v>
      </c>
      <c r="C11" s="2" t="s">
        <v>1</v>
      </c>
      <c r="D11" s="2" t="s">
        <v>78</v>
      </c>
      <c r="E11" s="2" t="s">
        <v>1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Bug记录</vt:lpstr>
      <vt:lpstr>缺陷统计</vt:lpstr>
      <vt:lpstr>修复回归记录</vt:lpstr>
      <vt:lpstr>下拉选项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越 张</cp:lastModifiedBy>
  <dcterms:created xsi:type="dcterms:W3CDTF">2026-07-04T15:57:23Z</dcterms:created>
  <dcterms:modified xsi:type="dcterms:W3CDTF">2026-07-05T07:45:01Z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E944C1D8A66249AE863CE13BC28F4136_12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