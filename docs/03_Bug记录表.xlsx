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f75a50ad4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记录" sheetId="1" r:id="Rd9eca1241f494bd8"/>
    <x:sheet xmlns:r="http://schemas.openxmlformats.org/officeDocument/2006/relationships" name="缺陷统计" sheetId="2" r:id="R8318aca437ce4dc5"/>
    <x:sheet xmlns:r="http://schemas.openxmlformats.org/officeDocument/2006/relationships" name="修复回归记录" sheetId="3" r:id="R66c1ebc918e44ed0"/>
    <x:sheet xmlns:r="http://schemas.openxmlformats.org/officeDocument/2006/relationships" name="下拉选项" sheetId="4" r:id="Rcede8ede925e4cf2"/>
  </x:sheets>
</x:workbook>
</file>

<file path=xl/sharedStrings.xml><?xml version="1.0" encoding="utf-8"?>
<x:sst xmlns:x="http://schemas.openxmlformats.org/spreadsheetml/2006/main">
  <x:si>
    <x:t xml:space="preserve">MoodBoard × MBTI 项目 Bug 记录表</x:t>
  </x:si>
  <x:si>
    <x:t xml:space="preserve">1</x:t>
  </x:si>
  <x:si>
    <x:t xml:space="preserve">说明：发现缺陷后先在本表登记；修复后在“修复回归记录”中补充验证结果。</x:t>
  </x:si>
  <x:si>
    <x:t xml:space="preserve">Bug编号</x:t>
  </x:si>
  <x:si>
    <x:t xml:space="preserve">所属模块</x:t>
  </x:si>
  <x:si>
    <x:t xml:space="preserve">Bug标题</x:t>
  </x:si>
  <x:si>
    <x:t xml:space="preserve">严重程度</x:t>
  </x:si>
  <x:si>
    <x:t xml:space="preserve">优先级</x:t>
  </x:si>
  <x:si>
    <x:t xml:space="preserve">发现版本</x:t>
  </x:si>
  <x:si>
    <x:t xml:space="preserve">测试环境</x:t>
  </x:si>
  <x:si>
    <x:t xml:space="preserve">前置条件</x:t>
  </x:si>
  <x:si>
    <x:t xml:space="preserve">复现步骤</x:t>
  </x:si>
  <x:si>
    <x:t xml:space="preserve">预期结果</x:t>
  </x:si>
  <x:si>
    <x:t xml:space="preserve">实际结果</x:t>
  </x:si>
  <x:si>
    <x:t xml:space="preserve">接口表现/证据</x:t>
  </x:si>
  <x:si>
    <x:t xml:space="preserve">初步定位</x:t>
  </x:si>
  <x:si>
    <x:t xml:space="preserve">处理人</x:t>
  </x:si>
  <x:si>
    <x:t xml:space="preserve">当前状态</x:t>
  </x:si>
  <x:si>
    <x:t xml:space="preserve">关联用例ID</x:t>
  </x:si>
  <x:si>
    <x:t xml:space="preserve">发现日期</x:t>
  </x:si>
  <x:si>
    <x:t xml:space="preserve">关闭日期</x:t>
  </x:si>
  <x:si>
    <x:t xml:space="preserve">备注</x:t>
  </x:si>
  <x:si>
    <x:t xml:space="preserve">BUG-001</x:t>
  </x:si>
  <x:si>
    <x:t xml:space="preserve">情绪日记模块</x:t>
  </x:si>
  <x:si>
    <x:t xml:space="preserve">获取位置后仅显示“当前位置”，未显示市和区</x:t>
  </x:si>
  <x:si>
    <x:t xml:space="preserve">中</x:t>
  </x:si>
  <x:si>
    <x:t xml:space="preserve">P1</x:t>
  </x:si>
  <x:si>
    <x:t xml:space="preserve">V1.0</x:t>
  </x:si>
  <x:si>
    <x:t xml:space="preserve">Windows + Chrome + Spring Boot + Vue</x:t>
  </x:si>
  <x:si>
    <x:t xml:space="preserve">用户已登录系统，并进入情绪日记编辑页面</x:t>
  </x:si>
  <x:si>
    <x:t xml:space="preserve">1. 启动前端和后端服务；
2. 登录系统或游客登录；
3. 进入情绪日记页面；
4. 点击某一天进入日记编辑页面；
5. 点击“获取位置”按钮。</x:t>
  </x:si>
  <x:si>
    <x:t xml:space="preserve">系统应根据经纬度调用高德地图逆地理编码接口，显示具体市区信息，例如“杭州市 临平区”。</x:t>
  </x:si>
  <x:si>
    <x:t xml:space="preserve">页面仅显示“当前位置”，未显示 city、district 等市区信息。</x:t>
  </x:si>
  <x:si>
    <x:t xml:space="preserve">Network 中 /api/location/reverse 返回 200，但返回数据里 province、city、district 为空，locationName 为“当前位置”。</x:t>
  </x:si>
  <x:si>
    <x:t xml:space="preserve">前端已成功获取经纬度，问题可能在高德 API Key 未生效、后端逆地理编码调用失败，或经纬度顺序处理错误。</x:t>
  </x:si>
  <x:si>
    <x:t xml:space="preserve">张越</x:t>
  </x:si>
  <x:si>
    <x:t xml:space="preserve">配置高德 Web服务 Key 后，重新启动后端，获取位置功能可正常显示市和区。</x:t>
  </x:si>
  <x:si>
    <x:t xml:space="preserve">BUG-002</x:t>
  </x:si>
  <x:si>
    <x:t xml:space="preserve">AI树洞模块</x:t>
  </x:si>
  <x:si>
    <x:t xml:space="preserve">调用 DeepSeek 接口时返回 400，AI 聊天无法正常回复</x:t>
  </x:si>
  <x:si>
    <x:t xml:space="preserve">高</x:t>
  </x:si>
  <x:si>
    <x:t xml:space="preserve">1. 启动前后端；2. 登录系统；3. 进入日常树洞；4. 输入一句话并发送</x:t>
  </x:si>
  <x:si>
    <x:t xml:space="preserve">AI 正常返回回复内容</x:t>
  </x:si>
  <x:si>
    <x:t xml:space="preserve">页面提示“DeepSeek 接口调用失败，状态码：400。请检查 API Key、模型名和接口地址。”</x:t>
  </x:si>
  <x:si>
    <x:t xml:space="preserve">DeepSeek 接口调用失败，状态码：400。</x:t>
  </x:si>
  <x:si>
    <x:t xml:space="preserve">后端已成功接收到前端聊天请求，但调用 DeepSeek /chat/completions 时请求参数不符合 DeepSeek API 要求，可能是模型名、messages结构或 thinking 参数格式错误</x:t>
  </x:si>
  <x:si>
    <x:t xml:space="preserve">BUG-003</x:t>
  </x:si>
  <x:si>
    <x:t xml:space="preserve">AI树洞模块 / 日常树洞</x:t>
  </x:si>
  <x:si>
    <x:t xml:space="preserve">清空会话后左侧会话栏仍保留原聊天标题</x:t>
  </x:si>
  <x:si>
    <x:t xml:space="preserve">用户已登录，进入 AI树洞-日常树洞页面，并已发送过聊天内容</x:t>
  </x:si>
  <x:si>
    <x:t xml:space="preserve">1. 进入 AI树洞；
2. 点击日常树洞；
3. 输入“我今天在写作业”并发送；
4. 点击清空会话；
5. 查看左侧会话栏标题。</x:t>
  </x:si>
  <x:si>
    <x:t xml:space="preserve">清空会话后，左侧会话标题和预览内容应同步清空，或恢复为“新对话 / 暂无内容”。</x:t>
  </x:si>
  <x:si>
    <x:t xml:space="preserve">右侧聊天内容被清空，但左侧会话栏仍显示“我今天在写作业”</x:t>
  </x:si>
  <x:si>
    <x:t xml:space="preserve">清空会话时只清空了当前消息列表，没有同步更新左侧 session 的 title / preview 字段。</x:t>
  </x:si>
  <x:si>
    <x:t xml:space="preserve">BUG-004</x:t>
  </x:si>
  <x:si>
    <x:t xml:space="preserve">AI树洞模块 / 会话管理</x:t>
  </x:si>
  <x:si>
    <x:t xml:space="preserve">左侧会话栏无法删除单个历史会话</x:t>
  </x:si>
  <x:si>
    <x:t xml:space="preserve">P2</x:t>
  </x:si>
  <x:si>
    <x:t xml:space="preserve">用户已进入日常树洞、人格对话、心灵盲盒或多人格对战页面，左侧存在历史会话</x:t>
  </x:si>
  <x:si>
    <x:t xml:space="preserve">1. 进入任意聊天页面；
2. 新建多个会话；
3. 尝试删除其中一个历史会话；
4. 查看左侧会话栏是否有删除按钮或左滑删除功能</x:t>
  </x:si>
  <x:si>
    <x:t xml:space="preserve">每个历史会话支持删除操作，例如鼠标悬停显示删除按钮，或移动端左滑显示“删除”按钮。</x:t>
  </x:si>
  <x:si>
    <x:t xml:space="preserve">当前会话栏仅支持点击切换会话，无法删除单个历史会话。</x:t>
  </x:si>
  <x:si>
    <x:t xml:space="preserve">前端会话列表只实现了新增、切换和清空当前会话，没有实现单个 session 删除逻辑。</x:t>
  </x:si>
  <x:si>
    <x:t xml:space="preserve">BUG-005</x:t>
  </x:si>
  <x:si>
    <x:t xml:space="preserve">新建日记时默认选中“平静”，导致未选择心情也被记录</x:t>
  </x:si>
  <x:si>
    <x:t xml:space="preserve">低</x:t>
  </x:si>
  <x:si>
    <x:t xml:space="preserve">新建日记页面默认不选中任何心情，用户手动选择后才记录</x:t>
  </x:si>
  <x:si>
    <x:t xml:space="preserve">进入日记编辑页后默认显示“平静 😌”</x:t>
  </x:si>
  <x:si>
    <x:t xml:space="preserve">前端日记编辑组件初始化时将 mood / emotionLabel 默认赋值为“😌 / 平静”</x:t>
  </x:si>
  <x:si>
    <x:t xml:space="preserve">BUG-006</x:t>
  </x:si>
  <x:si>
    <x:t xml:space="preserve">周视图保存日记后，月视图和年视图未同步显示</x:t>
  </x:si>
  <x:si>
    <x:t xml:space="preserve">用户在任意视图保存日记后，周/月/年视图均能同步展示该日期情绪记录</x:t>
  </x:si>
  <x:si>
    <x:t xml:space="preserve">周视图中写入的日记，在月视图和年视图中没有同步展示</x:t>
  </x:si>
  <x:si>
    <x:t xml:space="preserve">DiaryPage 不同视图分别请求数据，数据源未统一，导致周/月/年视图展示不一致</x:t>
  </x:si>
  <x:si>
    <x:t xml:space="preserve">BUG-007</x:t>
  </x:si>
  <x:si>
    <x:t xml:space="preserve">登录注册模块</x:t>
  </x:si>
  <x:si>
    <x:t xml:space="preserve">注册成功后自动登录失败，提示未获取到 token</x:t>
  </x:si>
  <x:si>
    <x:t xml:space="preserve">前端、后端服务正常启动，用户未登录</x:t>
  </x:si>
  <x:si>
    <x:t xml:space="preserve">1. 进入登录页；2. 切换到注册；3. 输入新用户名和密码；4. 点击注册</x:t>
  </x:si>
  <x:si>
    <x:t xml:space="preserve">注册成功后应自动登录，并跳转到系统首页或情绪日记页</x:t>
  </x:si>
  <x:si>
    <x:t xml:space="preserve">页面提示“注册成功，但自动登录失败，请手动登录”，用户未自动进入系统</x:t>
  </x:si>
  <x:si>
    <x:t xml:space="preserve">BUG-008</x:t>
  </x:si>
  <x:si>
    <x:t xml:space="preserve">游客登录模块</x:t>
  </x:si>
  <x:si>
    <x:t xml:space="preserve">点击游客登录后提示未获取到 token，无法进入系统</x:t>
  </x:si>
  <x:si>
    <x:t xml:space="preserve">V2.0</x:t>
  </x:si>
  <x:si>
    <x:t xml:space="preserve">1. 进入登录页；2. 点击“游客登录”按钮</x:t>
  </x:si>
  <x:si>
    <x:t xml:space="preserve">点击游客登录后，应自动创建游客账号并进入系统</x:t>
  </x:si>
  <x:si>
    <x:t xml:space="preserve">页面提示“游客登录失败：未获取到 token”，无法进入系统</x:t>
  </x:si>
  <x:si>
    <x:t xml:space="preserve">BUG-009</x:t>
  </x:si>
  <x:si>
    <x:t xml:space="preserve">AI聊天 / 会话记录模块</x:t>
  </x:si>
  <x:si>
    <x:t xml:space="preserve">不同账号登录后可看到同一浏览器下其他账号的聊天记录</x:t>
  </x:si>
  <x:si>
    <x:t xml:space="preserve">浏览器 localStorage 中存在历史聊天记录</x:t>
  </x:si>
  <x:si>
    <x:t xml:space="preserve">1. 登录账号A；2. 在日常树洞或人格聊天中发送消息；3. 切换登录账号B；4. 进入同一聊天页面</x:t>
  </x:si>
  <x:si>
    <x:t xml:space="preserve">不同账号之间的聊天记录应隔离显示，账号B不应看到账号A的数据</x:t>
  </x:si>
  <x:si>
    <x:t xml:space="preserve">账号B可以看到账号A的聊天记录</x:t>
  </x:si>
  <x:si>
    <x:t xml:space="preserve">BUG-010</x:t>
  </x:si>
  <x:si>
    <x:t xml:space="preserve">RAG 情绪知识库</x:t>
  </x:si>
  <x:si>
    <x:t xml:space="preserve">点击 RAG 生成回答时接口返回 500</x:t>
  </x:si>
  <x:si>
    <x:t xml:space="preserve">进入情绪知识库页面，输入“我最近考试很焦虑怎么办”，点击 RAG 生成回答</x:t>
  </x:si>
  <x:si>
    <x:t xml:space="preserve">系统应返回基于知识库的 AI 回答</x:t>
  </x:si>
  <x:si>
    <x:t xml:space="preserve">前端弹出“RAG 回答生成失败，请检查后端接口或 DeepSeek 配置</x:t>
  </x:si>
  <x:si>
    <x:t xml:space="preserve">BUG-011</x:t>
  </x:si>
  <x:si>
    <x:t xml:space="preserve">AI聊天</x:t>
  </x:si>
  <x:si>
    <x:t xml:space="preserve">用户输入内容未正确传给后端，AI 返回“请输入你想说的话”</x:t>
  </x:si>
  <x:si>
    <x:t xml:space="preserve">在日常树洞输入“最近睡不着”并发送</x:t>
  </x:si>
  <x:si>
    <x:t xml:space="preserve">AI 应根据用户输入生成情绪疏导回复</x:t>
  </x:si>
  <x:si>
    <x:t xml:space="preserve">AI 回复“请输入你想说的话”</x:t>
  </x:si>
  <x:si>
    <x:t xml:space="preserve">BUG-012</x:t>
  </x:si>
  <x:si>
    <x:t xml:space="preserve">人格对战 / Agent圆桌</x:t>
  </x:si>
  <x:si>
    <x:t xml:space="preserve">人格选择区和聊天区混在同一页面，导致页面显示不完整</x:t>
  </x:si>
  <x:si>
    <x:t xml:space="preserve">进入人格对话，点击人格对战</x:t>
  </x:si>
  <x:si>
    <x:t xml:space="preserve">选择人格和正式聊天应分步展示，页面结构清晰</x:t>
  </x:si>
  <x:si>
    <x:t xml:space="preserve">选择人格卡片、聊天区、输入框挤在同一页，底部内容显示不完整</x:t>
  </x:si>
  <x:si>
    <x:t xml:space="preserve">BUG-013</x:t>
  </x:si>
  <x:si>
    <x:t xml:space="preserve">GitHub / 项目配置</x:t>
  </x:si>
  <x:si>
    <x:t xml:space="preserve">README 中包含 DeepSeek API Key，导致 GitHub Secret Scanning 拦截 push</x:t>
  </x:si>
  <x:si>
    <x:t xml:space="preserve">执行 git push 上传项目</x:t>
  </x:si>
  <x:si>
    <x:t xml:space="preserve">项目应正常上传 GitHub，且不包含敏感密钥</x:t>
  </x:si>
  <x:si>
    <x:t xml:space="preserve">GitHub 拒绝推送，提示检测到 DeepSeek API Key</x:t>
  </x:si>
  <x:si>
    <x:t xml:space="preserve">MoodBoard × MBTI 缺陷统计看板</x:t>
  </x:si>
  <x:si>
    <x:t xml:space="preserve">MoodBoard × MBTI 修复回归记录</x:t>
  </x:si>
  <x:si>
    <x:t xml:space="preserve">回归编号</x:t>
  </x:si>
  <x:si>
    <x:t xml:space="preserve">修复版本</x:t>
  </x:si>
  <x:si>
    <x:t xml:space="preserve">修复说明</x:t>
  </x:si>
  <x:si>
    <x:t xml:space="preserve">回归步骤</x:t>
  </x:si>
  <x:si>
    <x:t xml:space="preserve">回归结论</x:t>
  </x:si>
  <x:si>
    <x:t xml:space="preserve">回归人</x:t>
  </x:si>
  <x:si>
    <x:t xml:space="preserve">回归日期</x:t>
  </x:si>
  <x:si>
    <x:t xml:space="preserve">REG-001</x:t>
  </x:si>
  <x:si>
    <x:t xml:space="preserve">已关闭</x:t>
  </x:si>
  <x:si>
    <x:t xml:space="preserve">1. 重新启动前后端；
2. 进入日记编辑页；
3. 点击获取位置；
4. 查看页面位置文本和 Network 返回。</x:t>
  </x:si>
  <x:si>
    <x:t xml:space="preserve">页面显示市和区，接口返回 province/city/district。</x:t>
  </x:si>
  <x:si>
    <x:t xml:space="preserve">页面已正常显示市区信息</x:t>
  </x:si>
  <x:si>
    <x:t xml:space="preserve">通过</x:t>
  </x:si>
  <x:si>
    <x:t xml:space="preserve">P0</x:t>
  </x:si>
  <x:si>
    <x:t xml:space="preserve">个人资料模块</x:t>
  </x:si>
  <x:si>
    <x:t xml:space="preserve">阻塞</x:t>
  </x:si>
  <x:si>
    <x:t xml:space="preserve">P3</x:t>
  </x:si>
  <x:si>
    <x:t xml:space="preserve">人格对话模块</x:t>
  </x:si>
  <x:si>
    <x:t xml:space="preserve">心灵盲盒模块</x:t>
  </x:si>
  <x:si>
    <x:t xml:space="preserve">人格面具模块</x:t>
  </x:si>
  <x:si>
    <x:t xml:space="preserve">多人格对战模块</x:t>
  </x:si>
  <x:si>
    <x:t xml:space="preserve">接口测试模块</x:t>
  </x:si>
  <x:si>
    <x:t xml:space="preserve">兼容性测试</x:t>
  </x:si>
</x:sst>
</file>

<file path=xl/styles.xml><?xml version="1.0" encoding="utf-8"?>
<x:styleSheet xmlns:x="http://schemas.openxmlformats.org/spreadsheetml/2006/main">
  <x:numFmts count="2">
    <x:numFmt numFmtId="178" formatCode="yyyy\-mm\-dd"/>
    <x:numFmt numFmtId="200" formatCode="0.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name val="Carlito"/>
    </x:font>
    <x:font>
      <x:sz val="10"/>
      <x:name val="宋体"/>
    </x:font>
    <x:font>
      <x:b/>
      <x:sz val="11"/>
      <x:color rgb="FF134E4A"/>
      <x:name val="Carlito"/>
    </x:font>
    <x:font>
      <x:i/>
      <x:sz val="11"/>
      <x:color rgb="FF334155"/>
      <x:name val="Carlito"/>
    </x:font>
    <x:font>
      <x:sz val="11"/>
      <x:name val="Carlito"/>
    </x:font>
    <x:font>
      <x:b/>
      <x:sz val="11"/>
      <x:name val="Carlito"/>
    </x:font>
    <x:font>
      <x:sz val="9"/>
      <x:name val="Carlito"/>
    </x:font>
    <x:font>
      <x:b/>
      <x:sz val="11"/>
      <x:color rgb="FF0E4F4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0F2F1"/>
      </x:patternFill>
    </x:fill>
    <x:fill>
      <x:patternFill patternType="solid">
        <x:fgColor rgb="FF117C73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CCF5EB"/>
      </x:patternFill>
    </x:fill>
  </x:fills>
  <x:borders count="2">
    <x:border/>
    <x:border>
      <x:left style="thin">
        <x:color rgb="FF61BDEA"/>
      </x:left>
      <x:right style="thin">
        <x:color rgb="FF61BDEA"/>
      </x:right>
      <x:top style="thin">
        <x:color rgb="FF61BDEA"/>
      </x:top>
      <x:bottom style="thin">
        <x:color rgb="FF61BDEA"/>
      </x:bottom>
    </x:border>
  </x:borders>
  <x:cellStyleXfs count="2">
    <x:xf numFmtId="0" fontId="0" fillId="0" borderId="0">
      <x:alignment vertical="center"/>
    </x:xf>
    <x:xf numFmtId="0" fontId="7" fillId="0" borderId="0"/>
  </x:cellStyleXfs>
  <x:cellXfs count="26">
    <x:xf numFmtId="0" fontId="0" fillId="0" borderId="0" xfId="0" applyAlignment="1"/>
    <x:xf numFmtId="0" fontId="1" fillId="2" borderId="0" xfId="1" applyFont="1" applyFill="1" applyAlignment="1">
      <x:alignment horizontal="center" vertical="center" wrapText="1"/>
    </x:xf>
    <x:xf numFmtId="0" fontId="7" fillId="0" borderId="0" xfId="1" applyAlignment="1">
      <x:alignment vertical="center"/>
    </x:xf>
    <x:xf numFmtId="0" fontId="3" fillId="0" borderId="0" xfId="1" applyFont="1" applyAlignment="1">
      <x:alignment vertical="top" wrapText="1"/>
    </x:xf>
    <x:xf numFmtId="0" fontId="4" fillId="0" borderId="0" xfId="1" applyFont="1" applyAlignment="1">
      <x:alignment vertical="top" wrapText="1"/>
    </x:xf>
    <x:xf numFmtId="178" fontId="3" fillId="0" borderId="0" xfId="1" applyNumberFormat="1" applyFont="1" applyAlignment="1">
      <x:alignment vertical="top" wrapText="1"/>
    </x:xf>
    <x:xf numFmtId="0" fontId="5" fillId="4" borderId="0" xfId="1" applyFont="1" applyFill="1" applyAlignment="1">
      <x:alignment horizontal="center" vertical="center"/>
    </x:xf>
    <x:xf numFmtId="10" fontId="5" fillId="4" borderId="0" xfId="1" applyNumberFormat="1" applyFont="1" applyFill="1" applyAlignment="1">
      <x:alignment horizontal="center" vertical="center"/>
    </x:xf>
    <x:xf numFmtId="0" fontId="2" fillId="3" borderId="0" xfId="1" applyFont="1" applyFill="1" applyAlignment="1">
      <x:alignment horizontal="center" vertical="center"/>
    </x:xf>
    <x:xf numFmtId="0" fontId="6" fillId="5" borderId="0" xfId="1" applyFont="1" applyFill="1" applyAlignment="1">
      <x:alignment vertical="center"/>
    </x:xf>
    <x:xf numFmtId="0" fontId="8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200" fontId="5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</x:cellXfs>
  <x:cellStyles count="2">
    <x:cellStyle name="Normal" xfId="1"/>
    <x:cellStyle name="常规" xfId="0"/>
  </x:cellStyles>
  <x:dxfs count="26"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ont>
        <x:b/>
      </x:font>
      <x:fill>
        <x:patternFill>
          <x:bgColor rgb="FFFECACA"/>
        </x:patternFill>
      </x:fill>
    </x:dxf>
    <x:dxf>
      <x:font>
        <x:b/>
      </x:font>
      <x:fill>
        <x:patternFill>
          <x:bgColor rgb="FFFECACA"/>
        </x:patternFill>
      </x:fill>
    </x:dxf>
    <x:dxf>
      <x:fill>
        <x:patternFill>
          <x:bgColor rgb="FFFED7AA"/>
        </x:patternFill>
      </x:fill>
    </x:dxf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d63d66263438b" /><Relationship Type="http://schemas.openxmlformats.org/officeDocument/2006/relationships/theme" Target="/xl/theme/theme1.xml" Id="R623dd8883cbe49ca" /><Relationship Type="http://schemas.openxmlformats.org/officeDocument/2006/relationships/sharedStrings" Target="/xl/sharedStrings.xml" Id="R6b2b380a4ea045b4" /><Relationship Type="http://schemas.openxmlformats.org/officeDocument/2006/relationships/worksheet" Target="/xl/worksheets/sheet1.xml" Id="Rd9eca1241f494bd8" /><Relationship Type="http://schemas.openxmlformats.org/officeDocument/2006/relationships/worksheet" Target="/xl/worksheets/sheet2.xml" Id="R8318aca437ce4dc5" /><Relationship Type="http://schemas.openxmlformats.org/officeDocument/2006/relationships/worksheet" Target="/xl/worksheets/sheet3.xml" Id="R66c1ebc918e44ed0" /><Relationship Type="http://schemas.openxmlformats.org/officeDocument/2006/relationships/worksheet" Target="/xl/worksheets/sheet4.xml" Id="Rcede8ede925e4cf2" /></Relationships>
</file>

<file path=xl/tables/table1.xml><?xml version="1.0" encoding="utf-8"?>
<x:table xmlns:x="http://schemas.openxmlformats.org/spreadsheetml/2006/main" id="1" name="BugRecordsTable" displayName="BugRecordsTable" ref="A4:S55" headerRowCount="1" totalsRowCount="0">
  <x:tableColumns count="19">
    <x:tableColumn id="1" name="Bug编号"/>
    <x:tableColumn id="2" name="所属模块"/>
    <x:tableColumn id="3" name="Bug标题"/>
    <x:tableColumn id="4" name="严重程度"/>
    <x:tableColumn id="5" name="优先级"/>
    <x:tableColumn id="6" name="发现版本"/>
    <x:tableColumn id="7" name="测试环境"/>
    <x:tableColumn id="8" name="前置条件"/>
    <x:tableColumn id="9" name="复现步骤"/>
    <x:tableColumn id="10" name="预期结果"/>
    <x:tableColumn id="11" name="实际结果"/>
    <x:tableColumn id="12" name="接口表现/证据"/>
    <x:tableColumn id="13" name="初步定位"/>
    <x:tableColumn id="14" name="处理人"/>
    <x:tableColumn id="15" name="当前状态"/>
    <x:tableColumn id="16" name="关联用例ID"/>
    <x:tableColumn id="17" name="发现日期"/>
    <x:tableColumn id="18" name="关闭日期"/>
    <x:tableColumn id="19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ressionTable" displayName="RegressionTable" ref="A3:K33">
  <x:tableColumns count="11">
    <x:tableColumn id="1" name="回归编号"/>
    <x:tableColumn id="2" name="Bug编号"/>
    <x:tableColumn id="3" name="修复版本"/>
    <x:tableColumn id="4" name="修复说明"/>
    <x:tableColumn id="5" name="回归步骤"/>
    <x:tableColumn id="6" name="预期结果"/>
    <x:tableColumn id="7" name="实际结果"/>
    <x:tableColumn id="8" name="回归结论"/>
    <x:tableColumn id="9" name="回归人"/>
    <x:tableColumn id="10" name="回归日期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a950ab8a72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333d0a6b7b4941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12" customWidth="1"/>
    <x:col min="2" max="2" width="16" customWidth="1"/>
    <x:col min="3" max="3" width="34" customWidth="1"/>
    <x:col min="4" max="5" width="10" customWidth="1"/>
    <x:col min="6" max="6" width="12" customWidth="1"/>
    <x:col min="7" max="7" width="26" customWidth="1"/>
    <x:col min="8" max="8" width="28" customWidth="1"/>
    <x:col min="9" max="9" width="38" customWidth="1"/>
    <x:col min="10" max="11" width="36" customWidth="1"/>
    <x:col min="12" max="12" width="38" customWidth="1"/>
    <x:col min="13" max="13" width="40" customWidth="1"/>
    <x:col min="14" max="15" width="12" customWidth="1"/>
    <x:col min="16" max="18" width="14" customWidth="1"/>
    <x:col min="19" max="19" width="30" customWidth="1"/>
    <x:col min="20" max="20" width="38" hidden="0" customWidth="1"/>
    <x:col min="21" max="21" width="44" hidden="0" customWidth="1"/>
  </x:cols>
  <x:sheetData>
    <x:row r="1" ht="30" customHeight="1">
      <x:c r="A1" s="8" t="s">
        <x:v>0</x:v>
      </x:c>
      <x:c r="B1" s="8" t="s">
        <x:v>1</x:v>
      </x:c>
      <x:c r="C1" s="8" t="s">
        <x:v>1</x:v>
      </x:c>
      <x:c r="D1" s="8" t="s">
        <x:v>1</x:v>
      </x:c>
      <x:c r="E1" s="8" t="s">
        <x:v>1</x:v>
      </x:c>
      <x:c r="F1" s="8" t="s">
        <x:v>1</x:v>
      </x:c>
      <x:c r="G1" s="8" t="s">
        <x:v>1</x:v>
      </x:c>
      <x:c r="H1" s="8" t="s">
        <x:v>1</x:v>
      </x:c>
      <x:c r="I1" s="8" t="s">
        <x:v>1</x:v>
      </x:c>
      <x:c r="J1" s="8" t="s">
        <x:v>1</x:v>
      </x:c>
      <x:c r="K1" s="8" t="s">
        <x:v>1</x:v>
      </x:c>
      <x:c r="L1" s="8" t="s">
        <x:v>1</x:v>
      </x:c>
      <x:c r="M1" s="8" t="s">
        <x:v>1</x:v>
      </x:c>
      <x:c r="N1" s="8" t="s">
        <x:v>1</x:v>
      </x:c>
      <x:c r="O1" s="8" t="s">
        <x:v>1</x:v>
      </x:c>
      <x:c r="P1" s="8" t="s">
        <x:v>1</x:v>
      </x:c>
      <x:c r="Q1" s="8" t="s">
        <x:v>1</x:v>
      </x:c>
      <x:c r="R1" s="8" t="s">
        <x:v>1</x:v>
      </x:c>
      <x:c r="S1" s="8" t="s">
        <x:v>1</x:v>
      </x:c>
    </x:row>
    <x:row r="2" ht="24" customHeight="1">
      <x:c r="A2" s="9" t="s">
        <x:v>2</x:v>
      </x:c>
      <x:c r="B2" s="9" t="s">
        <x:v>1</x:v>
      </x:c>
      <x:c r="C2" s="9" t="s">
        <x:v>1</x:v>
      </x:c>
      <x:c r="D2" s="9" t="s">
        <x:v>1</x:v>
      </x:c>
      <x:c r="E2" s="9" t="s">
        <x:v>1</x:v>
      </x:c>
      <x:c r="F2" s="9" t="s">
        <x:v>1</x:v>
      </x:c>
      <x:c r="G2" s="9" t="s">
        <x:v>1</x:v>
      </x:c>
      <x:c r="H2" s="9" t="s">
        <x:v>1</x:v>
      </x:c>
      <x:c r="I2" s="9" t="s">
        <x:v>1</x:v>
      </x:c>
      <x:c r="J2" s="9" t="s">
        <x:v>1</x:v>
      </x:c>
      <x:c r="K2" s="9" t="s">
        <x:v>1</x:v>
      </x:c>
      <x:c r="L2" s="9" t="s">
        <x:v>1</x:v>
      </x:c>
      <x:c r="M2" s="9" t="s">
        <x:v>1</x:v>
      </x:c>
      <x:c r="N2" s="9" t="s">
        <x:v>1</x:v>
      </x:c>
      <x:c r="O2" s="9" t="s">
        <x:v>1</x:v>
      </x:c>
      <x:c r="P2" s="9" t="s">
        <x:v>1</x:v>
      </x:c>
      <x:c r="Q2" s="9" t="s">
        <x:v>1</x:v>
      </x:c>
      <x:c r="R2" s="9" t="s">
        <x:v>1</x:v>
      </x:c>
      <x:c r="S2" s="9" t="s">
        <x:v>1</x:v>
      </x:c>
    </x:row>
    <x:row r="4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  <x:c r="N4" s="1" t="s">
        <x:v>16</x:v>
      </x:c>
      <x:c r="O4" s="1" t="s">
        <x:v>17</x:v>
      </x:c>
      <x:c r="P4" s="1" t="s">
        <x:v>18</x:v>
      </x:c>
      <x:c r="Q4" s="1" t="s">
        <x:v>19</x:v>
      </x:c>
      <x:c r="R4" s="1" t="s">
        <x:v>20</x:v>
      </x:c>
      <x:c r="S4" s="1" t="s">
        <x:v>21</x:v>
      </x:c>
      <x:c r="T4" s="17" t="str">
        <x:v>修复情况</x:v>
      </x:c>
      <x:c r="U4" s="17" t="str">
        <x:v>验证情况</x:v>
      </x:c>
    </x:row>
    <x:row r="5" ht="64.05000305175781" customHeight="1">
      <x:c r="A5" s="3" t="s">
        <x:v>22</x:v>
      </x:c>
      <x:c r="B5" s="3" t="s">
        <x:v>23</x:v>
      </x:c>
      <x:c r="C5" s="3" t="s">
        <x:v>24</x:v>
      </x:c>
      <x:c r="D5" s="3" t="s">
        <x:v>25</x:v>
      </x:c>
      <x:c r="E5" s="3" t="s">
        <x:v>26</x:v>
      </x:c>
      <x:c r="F5" s="3" t="s">
        <x:v>27</x:v>
      </x:c>
      <x:c r="G5" s="3" t="s">
        <x:v>28</x:v>
      </x:c>
      <x:c r="H5" s="3" t="s">
        <x:v>29</x:v>
      </x:c>
      <x:c r="I5" s="3" t="s">
        <x:v>30</x:v>
      </x:c>
      <x:c r="J5" s="3" t="s">
        <x:v>31</x:v>
      </x:c>
      <x:c r="K5" s="3" t="s">
        <x:v>32</x:v>
      </x:c>
      <x:c r="L5" s="3" t="s">
        <x:v>33</x:v>
      </x:c>
      <x:c r="M5" s="3" t="s">
        <x:v>34</x:v>
      </x:c>
      <x:c r="N5" s="4" t="s">
        <x:v>35</x:v>
      </x:c>
      <x:c r="O5" s="4" t="str">
        <x:v>已关闭</x:v>
      </x:c>
      <x:c r="P5" s="3" t="str">
        <x:v>TC-025</x:v>
      </x:c>
      <x:c r="Q5" s="5">
        <x:v>46207.6628935185</x:v>
      </x:c>
      <x:c r="R5" s="5">
        <x:v>20260704</x:v>
      </x:c>
      <x:c r="S5" s="4" t="s">
        <x:v>36</x:v>
      </x:c>
      <x:c r="T5" s="21" t="str">
        <x:v>配置高德 Web 服务 Key 后完成逆地理编码回归</x:v>
      </x:c>
      <x:c r="U5" s="21" t="str">
        <x:v>REG-001 已记录人工回归通过</x:v>
      </x:c>
    </x:row>
    <x:row r="6" ht="72" customHeight="1">
      <x:c r="A6" s="10" t="s">
        <x:v>37</x:v>
      </x:c>
      <x:c r="B6" s="10" t="s">
        <x:v>38</x:v>
      </x:c>
      <x:c r="C6" s="3" t="s">
        <x:v>39</x:v>
      </x:c>
      <x:c r="D6" s="3" t="s">
        <x:v>40</x:v>
      </x:c>
      <x:c r="E6" s="3" t="s">
        <x:v>26</x:v>
      </x:c>
      <x:c r="F6" s="3" t="s">
        <x:v>27</x:v>
      </x:c>
      <x:c r="G6" s="3" t="s">
        <x:v>28</x:v>
      </x:c>
      <x:c r="H6" s="3" t="s">
        <x:v>29</x:v>
      </x:c>
      <x:c r="I6" s="3" t="s">
        <x:v>41</x:v>
      </x:c>
      <x:c r="J6" s="3" t="s">
        <x:v>42</x:v>
      </x:c>
      <x:c r="K6" s="3" t="s">
        <x:v>43</x:v>
      </x:c>
      <x:c r="L6" s="3" t="s">
        <x:v>44</x:v>
      </x:c>
      <x:c r="M6" s="3" t="s">
        <x:v>45</x:v>
      </x:c>
      <x:c r="N6" s="3" t="s">
        <x:v>35</x:v>
      </x:c>
      <x:c r="O6" s="3" t="str">
        <x:v>待回归</x:v>
      </x:c>
      <x:c r="P6" s="3"/>
      <x:c r="Q6" s="5"/>
      <x:c r="R6" s="5"/>
      <x:c r="S6" s="3"/>
      <x:c r="T6" s="23" t="str">
        <x:v>需配置 real DeepSeek 后回归；mock 模式不覆盖该问题</x:v>
      </x:c>
      <x:c r="U6" s="23" t="str">
        <x:v>2026-09-13 浏览器人工回归：按约束未调用 real DeepSeek，无法验证 400 问题</x:v>
      </x:c>
    </x:row>
    <x:row r="7" ht="72" customHeight="1">
      <x:c r="A7" s="11" t="s">
        <x:v>46</x:v>
      </x:c>
      <x:c r="B7" s="11" t="s">
        <x:v>47</x:v>
      </x:c>
      <x:c r="C7" s="3" t="s">
        <x:v>48</x:v>
      </x:c>
      <x:c r="D7" s="3" t="s">
        <x:v>25</x:v>
      </x:c>
      <x:c r="E7" s="3" t="s">
        <x:v>26</x:v>
      </x:c>
      <x:c r="F7" s="3" t="s">
        <x:v>27</x:v>
      </x:c>
      <x:c r="G7" s="3" t="s">
        <x:v>28</x:v>
      </x:c>
      <x:c r="H7" s="3" t="s">
        <x:v>49</x:v>
      </x:c>
      <x:c r="I7" s="3" t="s">
        <x:v>50</x:v>
      </x:c>
      <x:c r="J7" s="3" t="s">
        <x:v>51</x:v>
      </x:c>
      <x:c r="K7" s="3" t="s">
        <x:v>52</x:v>
      </x:c>
      <x:c r="L7" s="3"/>
      <x:c r="M7" s="3" t="s">
        <x:v>53</x:v>
      </x:c>
      <x:c r="N7" s="3" t="s">
        <x:v>35</x:v>
      </x:c>
      <x:c r="O7" s="3" t="str">
        <x:v>已关闭</x:v>
      </x:c>
      <x:c r="P7" s="3" t="str">
        <x:v>TC-036</x:v>
      </x:c>
      <x:c r="Q7" s="5"/>
      <x:c r="R7" s="5"/>
      <x:c r="S7" s="3"/>
      <x:c r="T7" s="21" t="str">
        <x:v>清空会话同步重置消息、标题和预览</x:v>
      </x:c>
      <x:c r="U7" s="21" t="str">
        <x:v>2026-09-13 浏览器人工回归：浏览器清空后右侧和左侧均恢复新日常树洞</x:v>
      </x:c>
    </x:row>
    <x:row r="8" ht="72" customHeight="1">
      <x:c r="A8" s="11" t="s">
        <x:v>54</x:v>
      </x:c>
      <x:c r="B8" s="11" t="s">
        <x:v>55</x:v>
      </x:c>
      <x:c r="C8" s="3" t="s">
        <x:v>56</x:v>
      </x:c>
      <x:c r="D8" s="3" t="s">
        <x:v>25</x:v>
      </x:c>
      <x:c r="E8" s="3" t="s">
        <x:v>57</x:v>
      </x:c>
      <x:c r="F8" s="3" t="s">
        <x:v>27</x:v>
      </x:c>
      <x:c r="G8" s="3" t="s">
        <x:v>28</x:v>
      </x:c>
      <x:c r="H8" s="3" t="s">
        <x:v>58</x:v>
      </x:c>
      <x:c r="I8" s="3" t="s">
        <x:v>59</x:v>
      </x:c>
      <x:c r="J8" s="3" t="s">
        <x:v>60</x:v>
      </x:c>
      <x:c r="K8" s="3" t="s">
        <x:v>61</x:v>
      </x:c>
      <x:c r="L8" s="3"/>
      <x:c r="M8" s="3" t="s">
        <x:v>62</x:v>
      </x:c>
      <x:c r="N8" s="3" t="s">
        <x:v>35</x:v>
      </x:c>
      <x:c r="O8" s="3" t="str">
        <x:v>已关闭</x:v>
      </x:c>
      <x:c r="P8" s="3" t="str">
        <x:v>TC-AI-新增AI树洞-会话管理</x:v>
      </x:c>
      <x:c r="Q8" s="5"/>
      <x:c r="R8" s="5"/>
      <x:c r="S8" s="3"/>
      <x:c r="T8" s="23" t="str">
        <x:v>会话列表已实现单个删除入口</x:v>
      </x:c>
      <x:c r="U8" s="23" t="str">
        <x:v>2026-09-13 浏览器人工回归：删除第一个会话后另一个会话保留</x:v>
      </x:c>
    </x:row>
    <x:row r="9" ht="72" customHeight="1">
      <x:c r="A9" s="11" t="s">
        <x:v>63</x:v>
      </x:c>
      <x:c r="B9" s="11" t="s">
        <x:v>23</x:v>
      </x:c>
      <x:c r="C9" s="3" t="s">
        <x:v>64</x:v>
      </x:c>
      <x:c r="D9" s="3" t="s">
        <x:v>65</x:v>
      </x:c>
      <x:c r="E9" s="3" t="s">
        <x:v>57</x:v>
      </x:c>
      <x:c r="F9" s="3" t="s">
        <x:v>27</x:v>
      </x:c>
      <x:c r="G9" s="3" t="s">
        <x:v>28</x:v>
      </x:c>
      <x:c r="H9" s="3"/>
      <x:c r="I9" s="3"/>
      <x:c r="J9" s="3" t="s">
        <x:v>66</x:v>
      </x:c>
      <x:c r="K9" s="3" t="s">
        <x:v>67</x:v>
      </x:c>
      <x:c r="L9" s="3"/>
      <x:c r="M9" s="3" t="s">
        <x:v>68</x:v>
      </x:c>
      <x:c r="N9" s="3" t="s">
        <x:v>35</x:v>
      </x:c>
      <x:c r="O9" s="3" t="str">
        <x:v>已关闭</x:v>
      </x:c>
      <x:c r="P9" s="3" t="str">
        <x:v>TC-017</x:v>
      </x:c>
      <x:c r="Q9" s="5"/>
      <x:c r="R9" s="5"/>
      <x:c r="S9" s="3"/>
      <x:c r="T9" s="21" t="str">
        <x:v>新建日记情绪初始化为空</x:v>
      </x:c>
      <x:c r="U9" s="21" t="str">
        <x:v>2026-09-13 浏览器人工回归：新建 9 月 14 日日记显示已选 0/5</x:v>
      </x:c>
    </x:row>
    <x:row r="10" ht="72" customHeight="1">
      <x:c r="A10" s="11" t="s">
        <x:v>69</x:v>
      </x:c>
      <x:c r="B10" s="11" t="s">
        <x:v>23</x:v>
      </x:c>
      <x:c r="C10" s="3" t="s">
        <x:v>70</x:v>
      </x:c>
      <x:c r="D10" s="3" t="s">
        <x:v>25</x:v>
      </x:c>
      <x:c r="E10" s="3" t="s">
        <x:v>26</x:v>
      </x:c>
      <x:c r="F10" s="3" t="s">
        <x:v>27</x:v>
      </x:c>
      <x:c r="G10" s="3" t="s">
        <x:v>28</x:v>
      </x:c>
      <x:c r="H10" s="3"/>
      <x:c r="I10" s="3"/>
      <x:c r="J10" s="3" t="s">
        <x:v>71</x:v>
      </x:c>
      <x:c r="K10" s="3" t="s">
        <x:v>72</x:v>
      </x:c>
      <x:c r="L10" s="3"/>
      <x:c r="M10" s="3" t="s">
        <x:v>73</x:v>
      </x:c>
      <x:c r="N10" s="3" t="s">
        <x:v>35</x:v>
      </x:c>
      <x:c r="O10" s="3" t="str">
        <x:v>已关闭</x:v>
      </x:c>
      <x:c r="P10" s="3" t="str">
        <x:v>TC-013, TC-015, TC-016, TC-017</x:v>
      </x:c>
      <x:c r="Q10" s="5"/>
      <x:c r="R10" s="5"/>
      <x:c r="S10" s="3"/>
      <x:c r="T10" s="23" t="str">
        <x:v>日/月/年查询接口和页面数据源已统一</x:v>
      </x:c>
      <x:c r="U10" s="23" t="str">
        <x:v>2026-09-13 浏览器人工回归：周、月、年均显示 9 月 13 日测试记录</x:v>
      </x:c>
    </x:row>
    <x:row r="11" ht="72" customHeight="1">
      <x:c r="A11" s="11" t="s">
        <x:v>74</x:v>
      </x:c>
      <x:c r="B11" s="11" t="s">
        <x:v>75</x:v>
      </x:c>
      <x:c r="C11" s="3" t="s">
        <x:v>76</x:v>
      </x:c>
      <x:c r="D11" s="3" t="s">
        <x:v>25</x:v>
      </x:c>
      <x:c r="E11" s="3" t="s">
        <x:v>26</x:v>
      </x:c>
      <x:c r="F11" s="3" t="s">
        <x:v>27</x:v>
      </x:c>
      <x:c r="G11" s="3" t="s">
        <x:v>28</x:v>
      </x:c>
      <x:c r="H11" s="3" t="s">
        <x:v>77</x:v>
      </x:c>
      <x:c r="I11" s="3" t="s">
        <x:v>78</x:v>
      </x:c>
      <x:c r="J11" s="3" t="s">
        <x:v>79</x:v>
      </x:c>
      <x:c r="K11" s="3" t="s">
        <x:v>80</x:v>
      </x:c>
      <x:c r="L11" s="3"/>
      <x:c r="M11" s="3"/>
      <x:c r="N11" s="3" t="s">
        <x:v>35</x:v>
      </x:c>
      <x:c r="O11" s="3" t="str">
        <x:v>已关闭</x:v>
      </x:c>
      <x:c r="P11" s="3" t="str">
        <x:v>TC-005</x:v>
      </x:c>
      <x:c r="Q11" s="5"/>
      <x:c r="R11" s="5"/>
      <x:c r="S11" s="3"/>
      <x:c r="T11" s="21" t="str">
        <x:v>注册后执行登录并读取 token</x:v>
      </x:c>
      <x:c r="U11" s="21" t="str">
        <x:v>2026-09-13 浏览器人工回归：新账号注册后自动进入情绪日记</x:v>
      </x:c>
    </x:row>
    <x:row r="12" ht="72" customHeight="1">
      <x:c r="A12" s="11" t="s">
        <x:v>81</x:v>
      </x:c>
      <x:c r="B12" s="11" t="s">
        <x:v>82</x:v>
      </x:c>
      <x:c r="C12" s="3" t="s">
        <x:v>83</x:v>
      </x:c>
      <x:c r="D12" s="3" t="s">
        <x:v>25</x:v>
      </x:c>
      <x:c r="E12" s="3" t="s">
        <x:v>26</x:v>
      </x:c>
      <x:c r="F12" s="3" t="s">
        <x:v>84</x:v>
      </x:c>
      <x:c r="G12" s="3" t="s">
        <x:v>28</x:v>
      </x:c>
      <x:c r="H12" s="3" t="s">
        <x:v>77</x:v>
      </x:c>
      <x:c r="I12" s="3" t="s">
        <x:v>85</x:v>
      </x:c>
      <x:c r="J12" s="3" t="s">
        <x:v>86</x:v>
      </x:c>
      <x:c r="K12" s="3" t="s">
        <x:v>87</x:v>
      </x:c>
      <x:c r="L12" s="3"/>
      <x:c r="M12" s="3"/>
      <x:c r="N12" s="3" t="s">
        <x:v>35</x:v>
      </x:c>
      <x:c r="O12" s="3" t="str">
        <x:v>已关闭</x:v>
      </x:c>
      <x:c r="P12" s="3" t="str">
        <x:v>TC-007</x:v>
      </x:c>
      <x:c r="Q12" s="5"/>
      <x:c r="R12" s="5"/>
      <x:c r="S12" s="3"/>
      <x:c r="T12" s="23" t="str">
        <x:v>游客流程创建账号后登录并兼容已有状态</x:v>
      </x:c>
      <x:c r="U12" s="23" t="str">
        <x:v>2026-09-13 浏览器人工回归：游客登录进入情绪日记并显示游客资料</x:v>
      </x:c>
    </x:row>
    <x:row r="13" ht="72" customHeight="1">
      <x:c r="A13" s="11" t="s">
        <x:v>88</x:v>
      </x:c>
      <x:c r="B13" s="11" t="s">
        <x:v>89</x:v>
      </x:c>
      <x:c r="C13" s="3" t="s">
        <x:v>90</x:v>
      </x:c>
      <x:c r="D13" s="3" t="s">
        <x:v>40</x:v>
      </x:c>
      <x:c r="E13" s="3" t="s">
        <x:v>26</x:v>
      </x:c>
      <x:c r="F13" s="3" t="s">
        <x:v>84</x:v>
      </x:c>
      <x:c r="G13" s="3" t="s">
        <x:v>28</x:v>
      </x:c>
      <x:c r="H13" s="3" t="s">
        <x:v>91</x:v>
      </x:c>
      <x:c r="I13" s="3" t="s">
        <x:v>92</x:v>
      </x:c>
      <x:c r="J13" s="3" t="s">
        <x:v>93</x:v>
      </x:c>
      <x:c r="K13" s="3" t="s">
        <x:v>94</x:v>
      </x:c>
      <x:c r="L13" s="3"/>
      <x:c r="M13" s="3"/>
      <x:c r="N13" s="3" t="s">
        <x:v>35</x:v>
      </x:c>
      <x:c r="O13" s="3" t="str">
        <x:v>已关闭</x:v>
      </x:c>
      <x:c r="P13" s="3" t="str">
        <x:v>TC-035, TC-048</x:v>
      </x:c>
      <x:c r="Q13" s="5"/>
      <x:c r="R13" s="5"/>
      <x:c r="S13" s="3"/>
      <x:c r="T13" s="21" t="str">
        <x:v>聊天 localStorage 键包含当前用户标识</x:v>
      </x:c>
      <x:c r="U13" s="21" t="str">
        <x:v>2026-09-13 浏览器人工回归：账号 B 未看到账号 A 的聊天标记</x:v>
      </x:c>
    </x:row>
    <x:row r="14" ht="72" customHeight="1">
      <x:c r="A14" s="11" t="s">
        <x:v>95</x:v>
      </x:c>
      <x:c r="B14" s="11" t="s">
        <x:v>96</x:v>
      </x:c>
      <x:c r="C14" s="3" t="s">
        <x:v>97</x:v>
      </x:c>
      <x:c r="D14" s="3" t="s">
        <x:v>40</x:v>
      </x:c>
      <x:c r="E14" s="3" t="s">
        <x:v>26</x:v>
      </x:c>
      <x:c r="F14" s="3" t="s">
        <x:v>84</x:v>
      </x:c>
      <x:c r="G14" s="3" t="s">
        <x:v>28</x:v>
      </x:c>
      <x:c r="H14" s="3"/>
      <x:c r="I14" s="3" t="s">
        <x:v>98</x:v>
      </x:c>
      <x:c r="J14" s="3" t="s">
        <x:v>99</x:v>
      </x:c>
      <x:c r="K14" s="3" t="s">
        <x:v>100</x:v>
      </x:c>
      <x:c r="L14" s="3"/>
      <x:c r="M14" s="3"/>
      <x:c r="N14" s="3" t="s">
        <x:v>35</x:v>
      </x:c>
      <x:c r="O14" s="3" t="str">
        <x:v>已修复</x:v>
      </x:c>
      <x:c r="P14" s="3" t="str">
        <x:v>TC-RAG-001</x:v>
      </x:c>
      <x:c r="Q14" s="5"/>
      <x:c r="R14" s="5"/>
      <x:c r="S14" s="3"/>
      <x:c r="T14" s="23" t="str">
        <x:v>RAG 在 mock 模式可生成回答，real 异常时回退</x:v>
      </x:c>
      <x:c r="U14" s="23" t="str">
        <x:v>pytest 知识检索与 RAG 问答通过；real 模式未执行</x:v>
      </x:c>
    </x:row>
    <x:row r="15" ht="72" customHeight="1">
      <x:c r="A15" s="11" t="s">
        <x:v>101</x:v>
      </x:c>
      <x:c r="B15" s="11" t="s">
        <x:v>102</x:v>
      </x:c>
      <x:c r="C15" s="3" t="s">
        <x:v>103</x:v>
      </x:c>
      <x:c r="D15" s="3" t="s">
        <x:v>40</x:v>
      </x:c>
      <x:c r="E15" s="3" t="s">
        <x:v>26</x:v>
      </x:c>
      <x:c r="F15" s="3" t="s">
        <x:v>84</x:v>
      </x:c>
      <x:c r="G15" s="3" t="s">
        <x:v>28</x:v>
      </x:c>
      <x:c r="H15" s="3"/>
      <x:c r="I15" s="3" t="s">
        <x:v>104</x:v>
      </x:c>
      <x:c r="J15" s="3" t="s">
        <x:v>105</x:v>
      </x:c>
      <x:c r="K15" s="3" t="s">
        <x:v>106</x:v>
      </x:c>
      <x:c r="L15" s="3"/>
      <x:c r="M15" s="3"/>
      <x:c r="N15" s="3" t="s">
        <x:v>35</x:v>
      </x:c>
      <x:c r="O15" s="3" t="str">
        <x:v>已修复</x:v>
      </x:c>
      <x:c r="P15" s="3" t="str">
        <x:v>TC-033</x:v>
      </x:c>
      <x:c r="Q15" s="5"/>
      <x:c r="R15" s="5"/>
      <x:c r="S15" s="3"/>
      <x:c r="T15" s="21" t="str">
        <x:v>前端发送 content 字段，后端校验并生成回复</x:v>
      </x:c>
      <x:c r="U15" s="21" t="str">
        <x:v>pytest Memory Chat 发送内容并获得非空回复</x:v>
      </x:c>
    </x:row>
    <x:row r="16" ht="72" customHeight="1">
      <x:c r="A16" s="11" t="s">
        <x:v>107</x:v>
      </x:c>
      <x:c r="B16" s="11" t="s">
        <x:v>108</x:v>
      </x:c>
      <x:c r="C16" s="3" t="s">
        <x:v>109</x:v>
      </x:c>
      <x:c r="D16" s="3" t="s">
        <x:v>25</x:v>
      </x:c>
      <x:c r="E16" s="3" t="s">
        <x:v>57</x:v>
      </x:c>
      <x:c r="F16" s="3" t="s">
        <x:v>84</x:v>
      </x:c>
      <x:c r="G16" s="3" t="s">
        <x:v>28</x:v>
      </x:c>
      <x:c r="H16" s="3"/>
      <x:c r="I16" s="3" t="s">
        <x:v>110</x:v>
      </x:c>
      <x:c r="J16" s="3" t="s">
        <x:v>111</x:v>
      </x:c>
      <x:c r="K16" t="s">
        <x:v>112</x:v>
      </x:c>
      <x:c r="L16" s="3"/>
      <x:c r="M16" s="3"/>
      <x:c r="N16" s="3" t="s">
        <x:v>35</x:v>
      </x:c>
      <x:c r="O16" s="3" t="str">
        <x:v>已关闭</x:v>
      </x:c>
      <x:c r="P16" s="3" t="str">
        <x:v>TC-061, TC-062, TC-063</x:v>
      </x:c>
      <x:c r="Q16" s="5"/>
      <x:c r="R16" s="5"/>
      <x:c r="S16" s="3" t="str">
        <x:v>圆桌页面已恢复输入框和发送区域，完成顺序回复与综合总结验证</x:v>
      </x:c>
      <x:c r="T16" s="23" t="str">
        <x:v>修复嵌套 button 结构并调整外层布局溢出，输入框和发送按钮可见</x:v>
      </x:c>
      <x:c r="U16" s="23" t="str">
        <x:v>2026-09-13 浏览器人工回归通过：可发送问题，Agent 顺序回复并显示综合总结，Console 无嵌套 button 警告</x:v>
      </x:c>
    </x:row>
    <x:row r="17" ht="72" customHeight="1">
      <x:c r="A17" s="3" t="s">
        <x:v>113</x:v>
      </x:c>
      <x:c r="B17" s="3" t="s">
        <x:v>114</x:v>
      </x:c>
      <x:c r="C17" s="3" t="s">
        <x:v>115</x:v>
      </x:c>
      <x:c r="D17" s="3" t="s">
        <x:v>40</x:v>
      </x:c>
      <x:c r="E17" s="3" t="s">
        <x:v>26</x:v>
      </x:c>
      <x:c r="F17" s="3" t="s">
        <x:v>84</x:v>
      </x:c>
      <x:c r="G17" s="3" t="s">
        <x:v>28</x:v>
      </x:c>
      <x:c r="H17" s="3"/>
      <x:c r="I17" s="3" t="s">
        <x:v>116</x:v>
      </x:c>
      <x:c r="J17" s="3" t="s">
        <x:v>117</x:v>
      </x:c>
      <x:c r="K17" s="3" t="s">
        <x:v>118</x:v>
      </x:c>
      <x:c r="L17" s="3"/>
      <x:c r="M17" s="3"/>
      <x:c r="N17" s="3"/>
      <x:c r="O17" s="3" t="str">
        <x:v>已修复</x:v>
      </x:c>
      <x:c r="P17" s="3"/>
      <x:c r="Q17" s="5"/>
      <x:c r="R17" s="5"/>
      <x:c r="S17" s="3"/>
      <x:c r="T17" s="21" t="str">
        <x:v>配置、示例和本地启动脚本已移除硬编码 Key</x:v>
      </x:c>
      <x:c r="U17" s="21" t="str">
        <x:v>静态扫描疑似 Key 为 0；按要求未执行 Git push</x:v>
      </x:c>
    </x:row>
    <x:row r="18" ht="7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5"/>
      <x:c r="R18" s="5"/>
      <x:c r="S18" s="3"/>
      <x:c r="T18"/>
      <x:c r="U18"/>
    </x:row>
    <x:row r="19" ht="7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5"/>
      <x:c r="R19" s="5"/>
      <x:c r="S19" s="3"/>
      <x:c r="T19"/>
      <x:c r="U19"/>
    </x:row>
    <x:row r="20" ht="7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5"/>
      <x:c r="R20" s="5"/>
      <x:c r="S20" s="3"/>
      <x:c r="T20"/>
      <x:c r="U20"/>
    </x:row>
    <x:row r="21" ht="7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5"/>
      <x:c r="R21" s="5"/>
      <x:c r="S21" s="3"/>
      <x:c r="T21"/>
      <x:c r="U21"/>
    </x:row>
    <x:row r="22" ht="7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5"/>
      <x:c r="R22" s="5"/>
      <x:c r="S22" s="3"/>
      <x:c r="T22"/>
      <x:c r="U22"/>
    </x:row>
    <x:row r="23" ht="7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5"/>
      <x:c r="R23" s="5"/>
      <x:c r="S23" s="3"/>
      <x:c r="T23"/>
      <x:c r="U23"/>
    </x:row>
    <x:row r="24" ht="7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5"/>
      <x:c r="R24" s="5"/>
      <x:c r="S24" s="3"/>
      <x:c r="T24"/>
      <x:c r="U24"/>
    </x:row>
    <x:row r="25" ht="7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5"/>
      <x:c r="R25" s="5"/>
      <x:c r="S25" s="3"/>
      <x:c r="T25"/>
      <x:c r="U25"/>
    </x:row>
    <x:row r="26" ht="7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5"/>
      <x:c r="R26" s="5"/>
      <x:c r="S26" s="3"/>
      <x:c r="T26"/>
      <x:c r="U26"/>
    </x:row>
    <x:row r="27" ht="7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5"/>
      <x:c r="R27" s="5"/>
      <x:c r="S27" s="3"/>
      <x:c r="T27"/>
      <x:c r="U27"/>
    </x:row>
    <x:row r="28" ht="7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5"/>
      <x:c r="R28" s="5"/>
      <x:c r="S28" s="3"/>
      <x:c r="T28"/>
      <x:c r="U28"/>
    </x:row>
    <x:row r="29" ht="7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5"/>
      <x:c r="R29" s="5"/>
      <x:c r="S29" s="3"/>
      <x:c r="T29"/>
      <x:c r="U29"/>
    </x:row>
    <x:row r="30" ht="7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5"/>
      <x:c r="R30" s="5"/>
      <x:c r="S30" s="3"/>
      <x:c r="T30"/>
      <x:c r="U30"/>
    </x:row>
    <x:row r="31" ht="7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5"/>
      <x:c r="R31" s="5"/>
      <x:c r="S31" s="3"/>
      <x:c r="T31"/>
      <x:c r="U31"/>
    </x:row>
    <x:row r="32" ht="7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5"/>
      <x:c r="R32" s="5"/>
      <x:c r="S32" s="3"/>
      <x:c r="T32"/>
      <x:c r="U32"/>
    </x:row>
    <x:row r="33" ht="7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5"/>
      <x:c r="R33" s="5"/>
      <x:c r="S33" s="3"/>
      <x:c r="T33"/>
      <x:c r="U33"/>
    </x:row>
    <x:row r="34" ht="7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5"/>
      <x:c r="R34" s="5"/>
      <x:c r="S34" s="3"/>
      <x:c r="T34"/>
      <x:c r="U34"/>
    </x:row>
    <x:row r="35" ht="7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5"/>
      <x:c r="R35" s="5"/>
      <x:c r="S35" s="3"/>
      <x:c r="T35"/>
      <x:c r="U35"/>
    </x:row>
    <x:row r="36" ht="7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5"/>
      <x:c r="R36" s="5"/>
      <x:c r="S36" s="3"/>
      <x:c r="T36"/>
      <x:c r="U36"/>
    </x:row>
    <x:row r="37" ht="7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5"/>
      <x:c r="R37" s="5"/>
      <x:c r="S37" s="3"/>
      <x:c r="T37"/>
      <x:c r="U37"/>
    </x:row>
    <x:row r="38" ht="7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5"/>
      <x:c r="R38" s="5"/>
      <x:c r="S38" s="3"/>
      <x:c r="T38"/>
      <x:c r="U38"/>
    </x:row>
    <x:row r="39" ht="7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5"/>
      <x:c r="R39" s="5"/>
      <x:c r="S39" s="3"/>
      <x:c r="T39"/>
      <x:c r="U39"/>
    </x:row>
    <x:row r="40" ht="7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5"/>
      <x:c r="R40" s="5"/>
      <x:c r="S40" s="3"/>
      <x:c r="T40"/>
      <x:c r="U40"/>
    </x:row>
    <x:row r="41" ht="7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5"/>
      <x:c r="R41" s="5"/>
      <x:c r="S41" s="3"/>
      <x:c r="T41"/>
      <x:c r="U41"/>
    </x:row>
    <x:row r="42" ht="7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5"/>
      <x:c r="R42" s="5"/>
      <x:c r="S42" s="3"/>
      <x:c r="T42"/>
      <x:c r="U42"/>
    </x:row>
    <x:row r="43" ht="7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5"/>
      <x:c r="R43" s="5"/>
      <x:c r="S43" s="3"/>
      <x:c r="T43"/>
      <x:c r="U43"/>
    </x:row>
    <x:row r="44" ht="7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5"/>
      <x:c r="R44" s="5"/>
      <x:c r="S44" s="3"/>
      <x:c r="T44"/>
      <x:c r="U44"/>
    </x:row>
    <x:row r="45" ht="7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5"/>
      <x:c r="R45" s="5"/>
      <x:c r="S45" s="3"/>
      <x:c r="T45"/>
      <x:c r="U45"/>
    </x:row>
    <x:row r="46" ht="7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5"/>
      <x:c r="R46" s="5"/>
      <x:c r="S46" s="3"/>
      <x:c r="T46"/>
      <x:c r="U46"/>
    </x:row>
    <x:row r="47" ht="7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5"/>
      <x:c r="R47" s="5"/>
      <x:c r="S47" s="3"/>
      <x:c r="T47"/>
      <x:c r="U47"/>
    </x:row>
    <x:row r="48" ht="7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5"/>
      <x:c r="R48" s="5"/>
      <x:c r="S48" s="3"/>
      <x:c r="T48"/>
      <x:c r="U48"/>
    </x:row>
    <x:row r="49" ht="7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5"/>
      <x:c r="R49" s="5"/>
      <x:c r="S49" s="3"/>
      <x:c r="T49"/>
      <x:c r="U49"/>
    </x:row>
    <x:row r="50" ht="7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5"/>
      <x:c r="R50" s="5"/>
      <x:c r="S50" s="3"/>
      <x:c r="T50"/>
      <x:c r="U50"/>
    </x:row>
    <x:row r="51" ht="7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5"/>
      <x:c r="R51" s="5"/>
      <x:c r="S51" s="3"/>
      <x:c r="T51"/>
      <x:c r="U51"/>
    </x:row>
    <x:row r="52" ht="7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5"/>
      <x:c r="R52" s="5"/>
      <x:c r="S52" s="3"/>
      <x:c r="T52"/>
      <x:c r="U52"/>
    </x:row>
    <x:row r="53" ht="7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5"/>
      <x:c r="R53" s="5"/>
      <x:c r="S53" s="3"/>
      <x:c r="T53"/>
      <x:c r="U53"/>
    </x:row>
    <x:row r="54" ht="7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5"/>
      <x:c r="R54" s="5"/>
      <x:c r="S54" s="3"/>
      <x:c r="T54"/>
      <x:c r="U54"/>
    </x:row>
    <x:row r="55">
      <x:c r="A55" t="str">
        <x:v>BUG-014</x:v>
      </x:c>
      <x:c r="B55" t="str">
        <x:v>情绪日记模块</x:v>
      </x:c>
      <x:c r="C55" t="str">
        <x:v>日记编辑页缺少删除入口，无法删除已有日记</x:v>
      </x:c>
      <x:c r="D55" t="str">
        <x:v>中</x:v>
      </x:c>
      <x:c r="E55" t="str">
        <x:v>P1</x:v>
      </x:c>
      <x:c r="F55" t="str">
        <x:v>V2.0</x:v>
      </x:c>
      <x:c r="G55" t="str">
        <x:v>Windows + Chrome + Spring Boot + Vue</x:v>
      </x:c>
      <x:c r="H55" t="str">
        <x:v>用户已登录，且存在一篇本人创建的日记</x:v>
      </x:c>
      <x:c r="I55" t="str">
        <x:v>1. 打开已有日记
2. 点击“删除这篇日记”
3. 第一次取消
4. 再次点击删除并确认
5. 返回列表并刷新</x:v>
      </x:c>
      <x:c r="J55" t="str">
        <x:v>取消时不删除；确认后返回列表，刷新后记录消失</x:v>
      </x:c>
      <x:c r="K55" t="str">
        <x:v>原编辑页没有删除按钮，无法从页面删除日记</x:v>
      </x:c>
      <x:c r="L55" t="str">
        <x:v>DELETE /api/diaries/{id} 已有后端接口并返回 200</x:v>
      </x:c>
      <x:c r="M55" t="str">
        <x:v>前端 DiaryEditPage 缺少删除入口和确认流程</x:v>
      </x:c>
      <x:c r="N55" t="str">
        <x:v>张越</x:v>
      </x:c>
      <x:c r="O55" t="str">
        <x:v>已关闭</x:v>
      </x:c>
      <x:c r="P55" t="str">
        <x:v>TC-DIARY-DELETE-001</x:v>
      </x:c>
      <x:c r="Q55" t="str">
        <x:v>2026-09-13</x:v>
      </x:c>
      <x:c r="R55" t="str">
        <x:v>2026-09-13</x:v>
      </x:c>
      <x:c r="S55" t="str">
        <x:v>人工回归通过</x:v>
      </x:c>
      <x:c r="T55" t="str">
        <x:v>增加删除入口、确认、成功返回和失败提示，取消不发送请求</x:v>
      </x:c>
      <x:c r="U55" t="str">
        <x:v>2026-09-13 浏览器人工回归通过：取消后记录仍在，确认后列表及刷新后均消失</x:v>
      </x:c>
    </x:row>
  </x:sheetData>
  <x:mergeCells>
    <x:mergeCell ref="A1:S1"/>
    <x:mergeCell ref="A2:S2"/>
  </x:mergeCells>
  <x:conditionalFormatting sqref="D5:D54">
    <x:cfRule type="expression" dxfId="8" priority="4">
      <x:formula>$D5="高"</x:formula>
    </x:cfRule>
    <x:cfRule type="expression" dxfId="7" priority="5">
      <x:formula>$D5="阻塞"</x:formula>
    </x:cfRule>
  </x:conditionalFormatting>
  <x:conditionalFormatting sqref="E5:E54">
    <x:cfRule type="expression" dxfId="6" priority="6">
      <x:formula>$E5="P0"</x:formula>
    </x:cfRule>
    <x:cfRule type="expression" dxfId="5" priority="7">
      <x:formula>$E5="P1"</x:formula>
    </x:cfRule>
  </x:conditionalFormatting>
  <x:conditionalFormatting sqref="O5:O54">
    <x:cfRule type="expression" dxfId="4" priority="1">
      <x:formula>$O5="待修复"</x:formula>
    </x:cfRule>
    <x:cfRule type="expression" dxfId="3" priority="2">
      <x:formula>$O5="已关闭"</x:formula>
    </x:cfRule>
    <x:cfRule type="expression" dxfId="2" priority="3">
      <x:formula>$O5="重新打开"</x:formula>
    </x:cfRule>
  </x:conditionalFormatting>
  <x:dataValidations count="1">
    <x:dataValidation type="list" sqref="O5:O54">
      <x:formula1>'下拉选项'!$C$2:$C$10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a950ab8a724544"/>
  </x:tableParts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8" width="15" customWidth="1"/>
  </x:cols>
  <x:sheetData>
    <x:row r="1" ht="30" customHeight="1">
      <x:c r="A1" s="8" t="s">
        <x:v>119</x:v>
      </x:c>
      <x:c r="B1" s="8" t="s">
        <x:v>1</x:v>
      </x:c>
      <x:c r="C1" s="8" t="s">
        <x:v>1</x:v>
      </x:c>
      <x:c r="D1" s="8" t="s">
        <x:v>1</x:v>
      </x:c>
      <x:c r="E1" s="8" t="s">
        <x:v>1</x:v>
      </x:c>
      <x:c r="F1" s="8" t="s">
        <x:v>1</x:v>
      </x:c>
      <x:c r="G1" s="8" t="s">
        <x:v>1</x:v>
      </x:c>
      <x:c r="H1" s="8" t="s">
        <x:v>1</x:v>
      </x:c>
    </x:row>
    <x:row r="3">
      <x:c r="A3" s="1" t="str">
        <x:v>指标</x:v>
      </x:c>
      <x:c r="B3" s="1" t="str">
        <x:v>数量</x:v>
      </x:c>
      <x:c r="C3" s="1"/>
      <x:c r="D3" s="1" t="str">
        <x:v>严重程度</x:v>
      </x:c>
      <x:c r="E3" s="1" t="str">
        <x:v>数量</x:v>
      </x:c>
      <x:c r="F3" s="1"/>
      <x:c r="G3" s="1" t="str">
        <x:v>状态</x:v>
      </x:c>
      <x:c r="H3" s="1" t="str">
        <x:v>数量</x:v>
      </x:c>
    </x:row>
    <x:row r="4">
      <x:c r="A4" s="6" t="str">
        <x:v>总 Bug 数</x:v>
      </x:c>
      <x:c r="B4" s="6" t="n">
        <x:v>14</x:v>
      </x:c>
      <x:c r="C4" s="2"/>
      <x:c r="D4" s="6" t="str">
        <x:v>低</x:v>
      </x:c>
      <x:c r="E4" s="6" t="n">
        <x:v>1</x:v>
      </x:c>
      <x:c r="F4" s="2"/>
      <x:c r="G4" s="6" t="str">
        <x:v>待修复</x:v>
      </x:c>
      <x:c r="H4" s="6" t="n">
        <x:v>0</x:v>
      </x:c>
    </x:row>
    <x:row r="5">
      <x:c r="A5" s="6" t="str">
        <x:v>P0 数量</x:v>
      </x:c>
      <x:c r="B5" s="6" t="n">
        <x:f>COUNTIF('Bug记录'!$E$5:$E$54,"P0")</x:f>
        <x:v>0</x:v>
      </x:c>
      <x:c r="C5" s="2"/>
      <x:c r="D5" s="6" t="str">
        <x:v>中</x:v>
      </x:c>
      <x:c r="E5" s="6" t="n">
        <x:v>8</x:v>
      </x:c>
      <x:c r="F5" s="2"/>
      <x:c r="G5" s="6" t="str">
        <x:v>待回归</x:v>
      </x:c>
      <x:c r="H5" s="6" t="n">
        <x:v>1</x:v>
      </x:c>
    </x:row>
    <x:row r="6">
      <x:c r="A6" s="6" t="str">
        <x:v>P1 数量</x:v>
      </x:c>
      <x:c r="B6" s="6" t="n">
        <x:f>COUNTIF('Bug记录'!$E$5:$E$54,"P1")</x:f>
        <x:v>10</x:v>
      </x:c>
      <x:c r="C6" s="2"/>
      <x:c r="D6" s="6" t="str">
        <x:v>高</x:v>
      </x:c>
      <x:c r="E6" s="6" t="n">
        <x:v>5</x:v>
      </x:c>
      <x:c r="F6" s="2"/>
      <x:c r="G6" s="6" t="str">
        <x:v>已修复</x:v>
      </x:c>
      <x:c r="H6" s="6" t="n">
        <x:v>3</x:v>
      </x:c>
    </x:row>
    <x:row r="7">
      <x:c r="A7" s="6" t="str">
        <x:v>P2 数量</x:v>
      </x:c>
      <x:c r="B7" s="6" t="n">
        <x:f>COUNTIF('Bug记录'!$E$5:$E$54,"P2")</x:f>
        <x:v>3</x:v>
      </x:c>
      <x:c r="C7" s="2"/>
      <x:c r="D7" s="6" t="str">
        <x:v>阻塞</x:v>
      </x:c>
      <x:c r="E7" s="6" t="n">
        <x:v>0</x:v>
      </x:c>
      <x:c r="F7" s="2"/>
      <x:c r="G7" s="6" t="str">
        <x:v>已关闭</x:v>
      </x:c>
      <x:c r="H7" s="6" t="n">
        <x:v>10</x:v>
      </x:c>
    </x:row>
    <x:row r="8">
      <x:c r="A8" s="6" t="str">
        <x:v>P3 数量</x:v>
      </x:c>
      <x:c r="B8" s="6" t="n">
        <x:f>COUNTIF('Bug记录'!$E$5:$E$54,"P3")</x:f>
        <x:v>0</x:v>
      </x:c>
      <x:c r="C8" s="2"/>
      <x:c r="D8" s="6"/>
      <x:c r="E8" s="6"/>
      <x:c r="F8" s="2"/>
      <x:c r="G8" s="6" t="str">
        <x:v>无法复现</x:v>
      </x:c>
      <x:c r="H8" s="6" t="n">
        <x:v>0</x:v>
      </x:c>
    </x:row>
    <x:row r="9">
      <x:c r="A9" s="6" t="str">
        <x:v>修复完成率</x:v>
      </x:c>
      <x:c r="B9" s="12" t="n">
        <x:v>0.9285714285714286</x:v>
      </x:c>
      <x:c r="C9" s="2"/>
      <x:c r="D9" s="2"/>
      <x:c r="E9" s="2"/>
      <x:c r="F9" s="2"/>
      <x:c r="G9" s="6" t="str">
        <x:v>延后处理</x:v>
      </x:c>
      <x:c r="H9" s="6" t="n">
        <x:v>0</x:v>
      </x:c>
    </x:row>
    <x:row r="10">
      <x:c r="A10"/>
      <x:c r="B10"/>
      <x:c r="C10"/>
      <x:c r="D10"/>
      <x:c r="E10"/>
      <x:c r="F10"/>
      <x:c r="G10" s="25" t="str">
        <x:v>其他状态</x:v>
      </x:c>
      <x:c r="H10" s="25" t="n">
        <x:v>0</x:v>
      </x:c>
    </x:row>
    <x:row r="11">
      <x:c r="A11"/>
      <x:c r="B11"/>
      <x:c r="C11"/>
      <x:c r="D11"/>
      <x:c r="E11"/>
      <x:c r="F11"/>
      <x:c r="G11" s="25" t="str">
        <x:v>未关闭数</x:v>
      </x:c>
      <x:c r="H11" s="25" t="n">
        <x:v>4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3" width="12" customWidth="1"/>
    <x:col min="4" max="4" width="30" customWidth="1"/>
    <x:col min="5" max="5" width="38" customWidth="1"/>
    <x:col min="6" max="7" width="32" customWidth="1"/>
    <x:col min="8" max="9" width="12" customWidth="1"/>
    <x:col min="10" max="10" width="14" customWidth="1"/>
    <x:col min="11" max="11" width="28" customWidth="1"/>
  </x:cols>
  <x:sheetData>
    <x:row r="1" ht="30" customHeight="1">
      <x:c r="A1" s="8" t="s">
        <x:v>120</x:v>
      </x:c>
      <x:c r="B1" s="8" t="s">
        <x:v>1</x:v>
      </x:c>
      <x:c r="C1" s="8" t="s">
        <x:v>1</x:v>
      </x:c>
      <x:c r="D1" s="8" t="s">
        <x:v>1</x:v>
      </x:c>
      <x:c r="E1" s="8" t="s">
        <x:v>1</x:v>
      </x:c>
      <x:c r="F1" s="8" t="s">
        <x:v>1</x:v>
      </x:c>
      <x:c r="G1" s="8" t="s">
        <x:v>1</x:v>
      </x:c>
      <x:c r="H1" s="8" t="s">
        <x:v>1</x:v>
      </x:c>
      <x:c r="I1" s="8" t="s">
        <x:v>1</x:v>
      </x:c>
      <x:c r="J1" s="8" t="s">
        <x:v>1</x:v>
      </x:c>
      <x:c r="K1" s="8" t="s">
        <x:v>1</x:v>
      </x:c>
    </x:row>
    <x:row r="3">
      <x:c r="A3" s="1" t="s">
        <x:v>121</x:v>
      </x:c>
      <x:c r="B3" s="1" t="s">
        <x:v>3</x:v>
      </x:c>
      <x:c r="C3" s="1" t="s">
        <x:v>122</x:v>
      </x:c>
      <x:c r="D3" s="1" t="s">
        <x:v>123</x:v>
      </x:c>
      <x:c r="E3" s="1" t="s">
        <x:v>124</x:v>
      </x:c>
      <x:c r="F3" s="1" t="s">
        <x:v>12</x:v>
      </x:c>
      <x:c r="G3" s="1" t="s">
        <x:v>13</x:v>
      </x:c>
      <x:c r="H3" s="1" t="s">
        <x:v>125</x:v>
      </x:c>
      <x:c r="I3" s="1" t="s">
        <x:v>126</x:v>
      </x:c>
      <x:c r="J3" s="1" t="s">
        <x:v>127</x:v>
      </x:c>
      <x:c r="K3" s="1" t="s">
        <x:v>21</x:v>
      </x:c>
    </x:row>
    <x:row r="4" ht="60" customHeight="1">
      <x:c r="A4" s="3" t="s">
        <x:v>128</x:v>
      </x:c>
      <x:c r="B4" s="3" t="s">
        <x:v>22</x:v>
      </x:c>
      <x:c r="C4" s="3" t="s">
        <x:v>1</x:v>
      </x:c>
      <x:c r="D4" s="4" t="s">
        <x:v>129</x:v>
      </x:c>
      <x:c r="E4" s="3" t="s">
        <x:v>130</x:v>
      </x:c>
      <x:c r="F4" s="3" t="s">
        <x:v>131</x:v>
      </x:c>
      <x:c r="G4" s="4" t="s">
        <x:v>132</x:v>
      </x:c>
      <x:c r="H4" s="4" t="s">
        <x:v>133</x:v>
      </x:c>
      <x:c r="I4" s="4" t="s">
        <x:v>35</x:v>
      </x:c>
      <x:c r="J4" s="5">
        <x:v>20260701</x:v>
      </x:c>
      <x:c r="K4" s="3" t="s">
        <x:v>1</x:v>
      </x:c>
    </x:row>
    <x:row r="5" ht="60" customHeight="1">
      <x:c r="A5" s="3"/>
      <x:c r="B5" s="3"/>
      <x:c r="C5" s="3"/>
      <x:c r="D5" s="3"/>
      <x:c r="E5" s="3"/>
      <x:c r="F5" s="3"/>
      <x:c r="G5" s="3"/>
      <x:c r="H5" s="3"/>
      <x:c r="I5" s="3"/>
      <x:c r="J5" s="5"/>
      <x:c r="K5" s="3"/>
    </x:row>
    <x:row r="6" ht="60" customHeight="1">
      <x:c r="A6" s="3"/>
      <x:c r="B6" s="3"/>
      <x:c r="C6" s="3"/>
      <x:c r="D6" s="3"/>
      <x:c r="E6" s="3"/>
      <x:c r="F6" s="3"/>
      <x:c r="G6" s="3"/>
      <x:c r="H6" s="3"/>
      <x:c r="I6" s="3"/>
      <x:c r="J6" s="5"/>
      <x:c r="K6" s="3"/>
    </x:row>
    <x:row r="7" ht="60" customHeight="1">
      <x:c r="A7" s="3"/>
      <x:c r="B7" s="3"/>
      <x:c r="C7" s="3"/>
      <x:c r="D7" s="3"/>
      <x:c r="E7" s="3"/>
      <x:c r="F7" s="3"/>
      <x:c r="G7" s="3"/>
      <x:c r="H7" s="3"/>
      <x:c r="I7" s="3"/>
      <x:c r="J7" s="5"/>
      <x:c r="K7" s="3"/>
    </x:row>
    <x:row r="8" ht="60" customHeight="1">
      <x:c r="A8" s="3"/>
      <x:c r="B8" s="3"/>
      <x:c r="C8" s="3"/>
      <x:c r="D8" s="3"/>
      <x:c r="E8" s="3"/>
      <x:c r="F8" s="3"/>
      <x:c r="G8" s="3"/>
      <x:c r="H8" s="3"/>
      <x:c r="I8" s="3"/>
      <x:c r="J8" s="5"/>
      <x:c r="K8" s="3"/>
    </x:row>
    <x:row r="9" ht="60" customHeight="1">
      <x:c r="A9" s="3"/>
      <x:c r="B9" s="3"/>
      <x:c r="C9" s="3"/>
      <x:c r="D9" s="3"/>
      <x:c r="E9" s="3"/>
      <x:c r="F9" s="3"/>
      <x:c r="G9" s="3"/>
      <x:c r="H9" s="3"/>
      <x:c r="I9" s="3"/>
      <x:c r="J9" s="5"/>
      <x:c r="K9" s="3"/>
    </x:row>
    <x:row r="10" ht="6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5"/>
      <x:c r="K10" s="3"/>
    </x:row>
    <x:row r="11" ht="6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5"/>
      <x:c r="K11" s="3"/>
    </x:row>
    <x:row r="12" ht="6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5"/>
      <x:c r="K12" s="3"/>
    </x:row>
    <x:row r="13" ht="6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5"/>
      <x:c r="K13" s="3"/>
    </x:row>
    <x:row r="14" ht="6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5"/>
      <x:c r="K14" s="3"/>
    </x:row>
    <x:row r="15" ht="6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5"/>
      <x:c r="K15" s="3"/>
    </x:row>
    <x:row r="16" ht="6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5"/>
      <x:c r="K16" s="3"/>
    </x:row>
    <x:row r="17" ht="6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5"/>
      <x:c r="K17" s="3"/>
    </x:row>
    <x:row r="18" ht="6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5"/>
      <x:c r="K18" s="3"/>
    </x:row>
    <x:row r="19" ht="6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5"/>
      <x:c r="K19" s="3"/>
    </x:row>
    <x:row r="20" ht="6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5"/>
      <x:c r="K20" s="3"/>
    </x:row>
    <x:row r="21" ht="6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5"/>
      <x:c r="K21" s="3"/>
    </x:row>
    <x:row r="22" ht="6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5"/>
      <x:c r="K22" s="3"/>
    </x:row>
    <x:row r="23" ht="6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5"/>
      <x:c r="K23" s="3"/>
    </x:row>
    <x:row r="24" ht="6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5"/>
      <x:c r="K24" s="3"/>
    </x:row>
    <x:row r="25" ht="6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5"/>
      <x:c r="K25" s="3"/>
    </x:row>
    <x:row r="26" ht="6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5"/>
      <x:c r="K26" s="3"/>
    </x:row>
    <x:row r="27" ht="6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5"/>
      <x:c r="K27" s="3"/>
    </x:row>
    <x:row r="28" ht="6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5"/>
      <x:c r="K28" s="3"/>
    </x:row>
    <x:row r="29" ht="6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5"/>
      <x:c r="K29" s="3"/>
    </x:row>
    <x:row r="30" ht="6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5"/>
      <x:c r="K30" s="3"/>
    </x:row>
    <x:row r="31" ht="6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5"/>
      <x:c r="K31" s="3"/>
    </x:row>
    <x:row r="32" ht="6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5"/>
      <x:c r="K32" s="3"/>
    </x:row>
    <x:row r="33" ht="6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5"/>
      <x:c r="K33" s="3"/>
    </x:row>
  </x:sheetData>
  <x:mergeCells>
    <x:mergeCell ref="A1:K1"/>
  </x:mergeCells>
  <x:conditionalFormatting sqref="H4:H33">
    <x:cfRule type="expression" dxfId="1" priority="1">
      <x:formula>$H4="通过"</x:formula>
    </x:cfRule>
    <x:cfRule type="expression" dxfId="0" priority="2">
      <x:formula>$H4="失败"</x:formula>
    </x:cfRule>
  </x:conditionalFormatting>
  <x:dataValidations count="1">
    <x:dataValidation type="list" sqref="H4:H33">
      <x:formula1>"未回归,通过,失败,阻塞"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333d0a6b7b4941"/>
  </x:tableParts>
</x:worksheet>
</file>

<file path=xl/worksheets/sheet4.xml><?xml version="1.0" encoding="utf-8"?>
<x:worksheet xmlns:x="http://schemas.openxmlformats.org/spreadsheetml/2006/main">
  <x:sheetFormatPr defaultColWidth="9" defaultRowHeight="13.5"/>
  <x:cols>
    <x:col min="1" max="1" width="7.86328125" customWidth="1"/>
    <x:col min="2" max="2" width="6" customWidth="1"/>
    <x:col min="3" max="3" width="7.86328125" customWidth="1"/>
    <x:col min="4" max="4" width="13.3984375" customWidth="1"/>
    <x:col min="5" max="5" width="6" customWidth="1"/>
  </x:cols>
  <x:sheetData>
    <x:row r="1" ht="27">
      <x:c r="A1" s="1" t="s">
        <x:v>6</x:v>
      </x:c>
      <x:c r="B1" s="1" t="s">
        <x:v>7</x:v>
      </x:c>
      <x:c r="C1" s="1" t="s">
        <x:v>17</x:v>
      </x:c>
      <x:c r="D1" s="1" t="s">
        <x:v>4</x:v>
      </x:c>
      <x:c r="E1" s="1" t="s">
        <x:v>16</x:v>
      </x:c>
    </x:row>
    <x:row r="2">
      <x:c r="A2" s="2" t="s">
        <x:v>65</x:v>
      </x:c>
      <x:c r="B2" s="2" t="s">
        <x:v>134</x:v>
      </x:c>
      <x:c r="C2" s="2" t="str">
        <x:v>待修复</x:v>
      </x:c>
      <x:c r="D2" s="2" t="s">
        <x:v>75</x:v>
      </x:c>
      <x:c r="E2" s="2" t="s">
        <x:v>1</x:v>
      </x:c>
    </x:row>
    <x:row r="3">
      <x:c r="A3" s="2" t="s">
        <x:v>25</x:v>
      </x:c>
      <x:c r="B3" s="2" t="s">
        <x:v>26</x:v>
      </x:c>
      <x:c r="C3" s="2" t="str">
        <x:v>修复中</x:v>
      </x:c>
      <x:c r="D3" s="2" t="s">
        <x:v>135</x:v>
      </x:c>
      <x:c r="E3" s="2" t="s">
        <x:v>1</x:v>
      </x:c>
    </x:row>
    <x:row r="4">
      <x:c r="A4" s="2" t="s">
        <x:v>40</x:v>
      </x:c>
      <x:c r="B4" s="2" t="s">
        <x:v>57</x:v>
      </x:c>
      <x:c r="C4" s="2" t="str">
        <x:v>已修复</x:v>
      </x:c>
      <x:c r="D4" s="2" t="s">
        <x:v>23</x:v>
      </x:c>
      <x:c r="E4" s="2" t="s">
        <x:v>1</x:v>
      </x:c>
    </x:row>
    <x:row r="5">
      <x:c r="A5" s="2" t="s">
        <x:v>136</x:v>
      </x:c>
      <x:c r="B5" s="2" t="s">
        <x:v>137</x:v>
      </x:c>
      <x:c r="C5" s="2" t="str">
        <x:v>已关闭</x:v>
      </x:c>
      <x:c r="D5" s="2" t="s">
        <x:v>38</x:v>
      </x:c>
      <x:c r="E5" s="2" t="s">
        <x:v>1</x:v>
      </x:c>
    </x:row>
    <x:row r="6">
      <x:c r="A6" s="2" t="s">
        <x:v>1</x:v>
      </x:c>
      <x:c r="B6" s="2" t="s">
        <x:v>1</x:v>
      </x:c>
      <x:c r="C6" s="2" t="str">
        <x:v>不予修复</x:v>
      </x:c>
      <x:c r="D6" s="2" t="s">
        <x:v>138</x:v>
      </x:c>
      <x:c r="E6" s="2" t="s">
        <x:v>1</x:v>
      </x:c>
    </x:row>
    <x:row r="7">
      <x:c r="A7" s="2" t="s">
        <x:v>1</x:v>
      </x:c>
      <x:c r="B7" s="2" t="s">
        <x:v>1</x:v>
      </x:c>
      <x:c r="C7" s="2" t="str">
        <x:v>重新打开</x:v>
      </x:c>
      <x:c r="D7" s="2" t="s">
        <x:v>139</x:v>
      </x:c>
      <x:c r="E7" s="2" t="s">
        <x:v>1</x:v>
      </x:c>
    </x:row>
    <x:row r="8">
      <x:c r="A8" s="2" t="s">
        <x:v>1</x:v>
      </x:c>
      <x:c r="B8" s="2" t="s">
        <x:v>1</x:v>
      </x:c>
      <x:c r="C8" s="2" t="str">
        <x:v>待回归</x:v>
      </x:c>
      <x:c r="D8" s="2" t="s">
        <x:v>140</x:v>
      </x:c>
      <x:c r="E8" s="2" t="s">
        <x:v>1</x:v>
      </x:c>
    </x:row>
    <x:row r="9">
      <x:c r="A9" s="2" t="s">
        <x:v>1</x:v>
      </x:c>
      <x:c r="B9" s="2" t="s">
        <x:v>1</x:v>
      </x:c>
      <x:c r="C9" s="2" t="str">
        <x:v>无法复现</x:v>
      </x:c>
      <x:c r="D9" s="2" t="s">
        <x:v>141</x:v>
      </x:c>
      <x:c r="E9" s="2" t="s">
        <x:v>1</x:v>
      </x:c>
    </x:row>
    <x:row r="10">
      <x:c r="A10" s="2" t="s">
        <x:v>1</x:v>
      </x:c>
      <x:c r="B10" s="2" t="s">
        <x:v>1</x:v>
      </x:c>
      <x:c r="C10" s="2" t="str">
        <x:v>延后处理</x:v>
      </x:c>
      <x:c r="D10" s="2" t="s">
        <x:v>142</x:v>
      </x:c>
      <x:c r="E10" s="2" t="s">
        <x:v>1</x:v>
      </x:c>
    </x:row>
    <x:row r="11">
      <x:c r="A11" s="2" t="s">
        <x:v>1</x:v>
      </x:c>
      <x:c r="B11" s="2" t="s">
        <x:v>1</x:v>
      </x:c>
      <x:c r="C11" s="2" t="s">
        <x:v>1</x:v>
      </x:c>
      <x:c r="D11" s="2" t="s">
        <x:v>143</x:v>
      </x:c>
      <x:c r="E11" s="2" t="s">
        <x:v>1</x:v>
      </x:c>
    </x:row>
  </x:sheetData>
  <x:pageMargins left="0.7" right="0.7" top="0.75" bottom="0.75" header="0.3" footer="0.3"/>
</x:worksheet>
</file>